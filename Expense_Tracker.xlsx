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e27a81729d7148b/Desktop/New folder/"/>
    </mc:Choice>
  </mc:AlternateContent>
  <xr:revisionPtr revIDLastSave="7" documentId="11_778AEFF733249119123F47543C5BDA1696C46924" xr6:coauthVersionLast="47" xr6:coauthVersionMax="47" xr10:uidLastSave="{C57529C6-277D-427C-A881-224CB6076686}"/>
  <bookViews>
    <workbookView xWindow="696" yWindow="2112" windowWidth="17280" windowHeight="10500" activeTab="2" xr2:uid="{00000000-000D-0000-FFFF-FFFF00000000}"/>
  </bookViews>
  <sheets>
    <sheet name="Transactions" sheetId="1" r:id="rId1"/>
    <sheet name="Monthly Summary" sheetId="2" r:id="rId2"/>
    <sheet name="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3" l="1"/>
  <c r="L9" i="3"/>
  <c r="K9" i="3"/>
  <c r="J9" i="3"/>
  <c r="I9" i="3"/>
  <c r="H9" i="3"/>
  <c r="G9" i="3"/>
  <c r="F9" i="3"/>
  <c r="E9" i="3"/>
  <c r="D9" i="3"/>
  <c r="C9" i="3"/>
  <c r="B9" i="3"/>
  <c r="M8" i="3"/>
  <c r="L8" i="3"/>
  <c r="K8" i="3"/>
  <c r="J8" i="3"/>
  <c r="I8" i="3"/>
  <c r="H8" i="3"/>
  <c r="G8" i="3"/>
  <c r="F8" i="3"/>
  <c r="E8" i="3"/>
  <c r="D8" i="3"/>
  <c r="C8" i="3"/>
  <c r="B8" i="3"/>
  <c r="M7" i="3"/>
  <c r="L7" i="3"/>
  <c r="K7" i="3"/>
  <c r="J7" i="3"/>
  <c r="I7" i="3"/>
  <c r="H7" i="3"/>
  <c r="G7" i="3"/>
  <c r="F7" i="3"/>
  <c r="E7" i="3"/>
  <c r="D7" i="3"/>
  <c r="C7" i="3"/>
  <c r="B7" i="3"/>
  <c r="M6" i="3"/>
  <c r="L6" i="3"/>
  <c r="K6" i="3"/>
  <c r="J6" i="3"/>
  <c r="I6" i="3"/>
  <c r="H6" i="3"/>
  <c r="G6" i="3"/>
  <c r="F6" i="3"/>
  <c r="E6" i="3"/>
  <c r="D6" i="3"/>
  <c r="C6" i="3"/>
  <c r="B6" i="3"/>
  <c r="M5" i="3"/>
  <c r="L5" i="3"/>
  <c r="K5" i="3"/>
  <c r="J5" i="3"/>
  <c r="I5" i="3"/>
  <c r="H5" i="3"/>
  <c r="G5" i="3"/>
  <c r="F5" i="3"/>
  <c r="E5" i="3"/>
  <c r="D5" i="3"/>
  <c r="C5" i="3"/>
  <c r="B5" i="3"/>
  <c r="M4" i="3"/>
  <c r="L4" i="3"/>
  <c r="K4" i="3"/>
  <c r="J4" i="3"/>
  <c r="I4" i="3"/>
  <c r="H4" i="3"/>
  <c r="G4" i="3"/>
  <c r="F4" i="3"/>
  <c r="E4" i="3"/>
  <c r="D4" i="3"/>
  <c r="C4" i="3"/>
  <c r="B4" i="3"/>
  <c r="M3" i="3"/>
  <c r="L3" i="3"/>
  <c r="K3" i="3"/>
  <c r="J3" i="3"/>
  <c r="I3" i="3"/>
  <c r="H3" i="3"/>
  <c r="G3" i="3"/>
  <c r="F3" i="3"/>
  <c r="E3" i="3"/>
  <c r="D3" i="3"/>
  <c r="C3" i="3"/>
  <c r="B3" i="3"/>
  <c r="M2" i="3"/>
  <c r="M10" i="3" s="1"/>
  <c r="L2" i="3"/>
  <c r="L10" i="3" s="1"/>
  <c r="K2" i="3"/>
  <c r="K10" i="3" s="1"/>
  <c r="J2" i="3"/>
  <c r="J10" i="3" s="1"/>
  <c r="I2" i="3"/>
  <c r="I10" i="3" s="1"/>
  <c r="H2" i="3"/>
  <c r="H10" i="3" s="1"/>
  <c r="G2" i="3"/>
  <c r="G10" i="3" s="1"/>
  <c r="F2" i="3"/>
  <c r="F10" i="3" s="1"/>
  <c r="E2" i="3"/>
  <c r="E10" i="3" s="1"/>
  <c r="D2" i="3"/>
  <c r="D10" i="3" s="1"/>
  <c r="C2" i="3"/>
  <c r="C10" i="3" s="1"/>
  <c r="B2" i="3"/>
  <c r="B10" i="3" s="1"/>
  <c r="M9" i="2"/>
  <c r="L9" i="2"/>
  <c r="K9" i="2"/>
  <c r="J9" i="2"/>
  <c r="I9" i="2"/>
  <c r="H9" i="2"/>
  <c r="G9" i="2"/>
  <c r="F9" i="2"/>
  <c r="E9" i="2"/>
  <c r="D9" i="2"/>
  <c r="C9" i="2"/>
  <c r="B9" i="2"/>
  <c r="M8" i="2"/>
  <c r="L8" i="2"/>
  <c r="K8" i="2"/>
  <c r="J8" i="2"/>
  <c r="I8" i="2"/>
  <c r="H8" i="2"/>
  <c r="G8" i="2"/>
  <c r="F8" i="2"/>
  <c r="E8" i="2"/>
  <c r="D8" i="2"/>
  <c r="C8" i="2"/>
  <c r="B8" i="2"/>
  <c r="M7" i="2"/>
  <c r="L7" i="2"/>
  <c r="K7" i="2"/>
  <c r="J7" i="2"/>
  <c r="I7" i="2"/>
  <c r="H7" i="2"/>
  <c r="G7" i="2"/>
  <c r="F7" i="2"/>
  <c r="E7" i="2"/>
  <c r="D7" i="2"/>
  <c r="C7" i="2"/>
  <c r="B7" i="2"/>
  <c r="M6" i="2"/>
  <c r="L6" i="2"/>
  <c r="K6" i="2"/>
  <c r="J6" i="2"/>
  <c r="I6" i="2"/>
  <c r="H6" i="2"/>
  <c r="G6" i="2"/>
  <c r="F6" i="2"/>
  <c r="E6" i="2"/>
  <c r="D6" i="2"/>
  <c r="C6" i="2"/>
  <c r="B6" i="2"/>
  <c r="M5" i="2"/>
  <c r="L5" i="2"/>
  <c r="K5" i="2"/>
  <c r="J5" i="2"/>
  <c r="I5" i="2"/>
  <c r="H5" i="2"/>
  <c r="G5" i="2"/>
  <c r="F5" i="2"/>
  <c r="E5" i="2"/>
  <c r="D5" i="2"/>
  <c r="C5" i="2"/>
  <c r="B5" i="2"/>
  <c r="M4" i="2"/>
  <c r="L4" i="2"/>
  <c r="K4" i="2"/>
  <c r="J4" i="2"/>
  <c r="I4" i="2"/>
  <c r="H4" i="2"/>
  <c r="G4" i="2"/>
  <c r="F4" i="2"/>
  <c r="E4" i="2"/>
  <c r="D4" i="2"/>
  <c r="C4" i="2"/>
  <c r="B4" i="2"/>
  <c r="M3" i="2"/>
  <c r="L3" i="2"/>
  <c r="K3" i="2"/>
  <c r="J3" i="2"/>
  <c r="I3" i="2"/>
  <c r="H3" i="2"/>
  <c r="G3" i="2"/>
  <c r="F3" i="2"/>
  <c r="E3" i="2"/>
  <c r="D3" i="2"/>
  <c r="C3" i="2"/>
  <c r="B3" i="2"/>
  <c r="M2" i="2"/>
  <c r="M10" i="2" s="1"/>
  <c r="L2" i="2"/>
  <c r="L10" i="2" s="1"/>
  <c r="K2" i="2"/>
  <c r="K10" i="2" s="1"/>
  <c r="J2" i="2"/>
  <c r="J10" i="2" s="1"/>
  <c r="I2" i="2"/>
  <c r="I10" i="2" s="1"/>
  <c r="H2" i="2"/>
  <c r="H10" i="2" s="1"/>
  <c r="G2" i="2"/>
  <c r="G10" i="2" s="1"/>
  <c r="F2" i="2"/>
  <c r="F10" i="2" s="1"/>
  <c r="E2" i="2"/>
  <c r="E10" i="2" s="1"/>
  <c r="D2" i="2"/>
  <c r="D10" i="2" s="1"/>
  <c r="C2" i="2"/>
  <c r="C10" i="2" s="1"/>
  <c r="B2" i="2"/>
  <c r="B10" i="2" s="1"/>
  <c r="D727" i="1"/>
</calcChain>
</file>

<file path=xl/sharedStrings.xml><?xml version="1.0" encoding="utf-8"?>
<sst xmlns="http://schemas.openxmlformats.org/spreadsheetml/2006/main" count="1499" uniqueCount="29">
  <si>
    <t>Date</t>
  </si>
  <si>
    <t>Category</t>
  </si>
  <si>
    <t>Type</t>
  </si>
  <si>
    <t>Amount</t>
  </si>
  <si>
    <t>Rent</t>
  </si>
  <si>
    <t>Housing</t>
  </si>
  <si>
    <t>Food</t>
  </si>
  <si>
    <t>Needs</t>
  </si>
  <si>
    <t>Transport</t>
  </si>
  <si>
    <t>Health</t>
  </si>
  <si>
    <t>Education</t>
  </si>
  <si>
    <t>Wants</t>
  </si>
  <si>
    <t>Shopping</t>
  </si>
  <si>
    <t>Utilities</t>
  </si>
  <si>
    <t>Entertainment</t>
  </si>
  <si>
    <t>Total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</si>
  <si>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</si>
  <si>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</si>
  <si>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</si>
  <si>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</si>
  <si>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</si>
  <si>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</si>
  <si>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</si>
  <si>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</si>
  <si>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</si>
  <si>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</si>
  <si>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</si>
  <si>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</si>
  <si>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Monthly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</si>
</sst>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3" fillId="0" borderId="0" xfId="0" applyFont="1"/>
    <xf numFmtId="165" fontId="3" fillId="0" borderId="0" xfId="0" applyNumberFormat="1" applyFont="1"/>
    <xf numFmtId="0" fontId="1" fillId="2" borderId="0" xfId="0" applyFont="1" applyFill="1"/>
    <xf numFmtId="165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6" customWidth="1"/>
    <col min="3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45901</v>
      </c>
      <c r="B2" s="3" t="s">
        <v>4</v>
      </c>
      <c r="C2" s="3" t="s">
        <v>5</v>
      </c>
      <c r="D2" s="4">
        <v>3000</v>
      </c>
    </row>
    <row r="3" spans="1:4" x14ac:dyDescent="0.3">
      <c r="A3" s="2">
        <v>45901</v>
      </c>
      <c r="B3" s="3" t="s">
        <v>6</v>
      </c>
      <c r="C3" s="3" t="s">
        <v>7</v>
      </c>
      <c r="D3" s="4">
        <v>68.34</v>
      </c>
    </row>
    <row r="4" spans="1:4" x14ac:dyDescent="0.3">
      <c r="A4" s="2">
        <v>45901</v>
      </c>
      <c r="B4" s="3" t="s">
        <v>8</v>
      </c>
      <c r="C4" s="3" t="s">
        <v>7</v>
      </c>
      <c r="D4" s="4">
        <v>41.22</v>
      </c>
    </row>
    <row r="5" spans="1:4" x14ac:dyDescent="0.3">
      <c r="A5" s="2">
        <v>45901</v>
      </c>
      <c r="B5" s="3" t="s">
        <v>9</v>
      </c>
      <c r="C5" s="3" t="s">
        <v>7</v>
      </c>
      <c r="D5" s="4">
        <v>155.47999999999999</v>
      </c>
    </row>
    <row r="6" spans="1:4" x14ac:dyDescent="0.3">
      <c r="A6" s="2">
        <v>45901</v>
      </c>
      <c r="B6" s="3" t="s">
        <v>10</v>
      </c>
      <c r="C6" s="3" t="s">
        <v>11</v>
      </c>
      <c r="D6" s="4">
        <v>209.32</v>
      </c>
    </row>
    <row r="7" spans="1:4" x14ac:dyDescent="0.3">
      <c r="A7" s="2">
        <v>45902</v>
      </c>
      <c r="B7" s="3" t="s">
        <v>6</v>
      </c>
      <c r="C7" s="3" t="s">
        <v>7</v>
      </c>
      <c r="D7" s="4">
        <v>51.77</v>
      </c>
    </row>
    <row r="8" spans="1:4" x14ac:dyDescent="0.3">
      <c r="A8" s="2">
        <v>45902</v>
      </c>
      <c r="B8" s="3" t="s">
        <v>8</v>
      </c>
      <c r="C8" s="3" t="s">
        <v>7</v>
      </c>
      <c r="D8" s="4">
        <v>38.33</v>
      </c>
    </row>
    <row r="9" spans="1:4" x14ac:dyDescent="0.3">
      <c r="A9" s="2">
        <v>45902</v>
      </c>
      <c r="B9" s="3" t="s">
        <v>12</v>
      </c>
      <c r="C9" s="3" t="s">
        <v>11</v>
      </c>
      <c r="D9" s="4">
        <v>335.71</v>
      </c>
    </row>
    <row r="10" spans="1:4" x14ac:dyDescent="0.3">
      <c r="A10" s="2">
        <v>45902</v>
      </c>
      <c r="B10" s="3" t="s">
        <v>10</v>
      </c>
      <c r="C10" s="3" t="s">
        <v>11</v>
      </c>
      <c r="D10" s="4">
        <v>502.91</v>
      </c>
    </row>
    <row r="11" spans="1:4" x14ac:dyDescent="0.3">
      <c r="A11" s="2">
        <v>45903</v>
      </c>
      <c r="B11" s="3" t="s">
        <v>8</v>
      </c>
      <c r="C11" s="3" t="s">
        <v>7</v>
      </c>
      <c r="D11" s="4">
        <v>21.85</v>
      </c>
    </row>
    <row r="12" spans="1:4" x14ac:dyDescent="0.3">
      <c r="A12" s="2">
        <v>45903</v>
      </c>
      <c r="B12" s="3" t="s">
        <v>9</v>
      </c>
      <c r="C12" s="3" t="s">
        <v>7</v>
      </c>
      <c r="D12" s="4">
        <v>74.180000000000007</v>
      </c>
    </row>
    <row r="13" spans="1:4" x14ac:dyDescent="0.3">
      <c r="A13" s="2">
        <v>45905</v>
      </c>
      <c r="B13" s="3" t="s">
        <v>13</v>
      </c>
      <c r="C13" s="3" t="s">
        <v>7</v>
      </c>
      <c r="D13" s="4">
        <v>209.16</v>
      </c>
    </row>
    <row r="14" spans="1:4" x14ac:dyDescent="0.3">
      <c r="A14" s="2">
        <v>45906</v>
      </c>
      <c r="B14" s="3" t="s">
        <v>6</v>
      </c>
      <c r="C14" s="3" t="s">
        <v>7</v>
      </c>
      <c r="D14" s="4">
        <v>69.290000000000006</v>
      </c>
    </row>
    <row r="15" spans="1:4" x14ac:dyDescent="0.3">
      <c r="A15" s="2">
        <v>45906</v>
      </c>
      <c r="B15" s="3" t="s">
        <v>8</v>
      </c>
      <c r="C15" s="3" t="s">
        <v>7</v>
      </c>
      <c r="D15" s="4">
        <v>24.43</v>
      </c>
    </row>
    <row r="16" spans="1:4" x14ac:dyDescent="0.3">
      <c r="A16" s="2">
        <v>45906</v>
      </c>
      <c r="B16" s="3" t="s">
        <v>14</v>
      </c>
      <c r="C16" s="3" t="s">
        <v>11</v>
      </c>
      <c r="D16" s="4">
        <v>105.59</v>
      </c>
    </row>
    <row r="17" spans="1:4" x14ac:dyDescent="0.3">
      <c r="A17" s="2">
        <v>45907</v>
      </c>
      <c r="B17" s="3" t="s">
        <v>6</v>
      </c>
      <c r="C17" s="3" t="s">
        <v>7</v>
      </c>
      <c r="D17" s="4">
        <v>67.8</v>
      </c>
    </row>
    <row r="18" spans="1:4" x14ac:dyDescent="0.3">
      <c r="A18" s="2">
        <v>45907</v>
      </c>
      <c r="B18" s="3" t="s">
        <v>9</v>
      </c>
      <c r="C18" s="3" t="s">
        <v>7</v>
      </c>
      <c r="D18" s="4">
        <v>232.28</v>
      </c>
    </row>
    <row r="19" spans="1:4" x14ac:dyDescent="0.3">
      <c r="A19" s="2">
        <v>45908</v>
      </c>
      <c r="B19" s="3" t="s">
        <v>6</v>
      </c>
      <c r="C19" s="3" t="s">
        <v>7</v>
      </c>
      <c r="D19" s="4">
        <v>115.97</v>
      </c>
    </row>
    <row r="20" spans="1:4" x14ac:dyDescent="0.3">
      <c r="A20" s="2">
        <v>45909</v>
      </c>
      <c r="B20" s="3" t="s">
        <v>6</v>
      </c>
      <c r="C20" s="3" t="s">
        <v>7</v>
      </c>
      <c r="D20" s="4">
        <v>52.14</v>
      </c>
    </row>
    <row r="21" spans="1:4" x14ac:dyDescent="0.3">
      <c r="A21" s="2">
        <v>45909</v>
      </c>
      <c r="B21" s="3" t="s">
        <v>8</v>
      </c>
      <c r="C21" s="3" t="s">
        <v>7</v>
      </c>
      <c r="D21" s="4">
        <v>25.59</v>
      </c>
    </row>
    <row r="22" spans="1:4" x14ac:dyDescent="0.3">
      <c r="A22" s="2">
        <v>45909</v>
      </c>
      <c r="B22" s="3" t="s">
        <v>14</v>
      </c>
      <c r="C22" s="3" t="s">
        <v>11</v>
      </c>
      <c r="D22" s="4">
        <v>238.58</v>
      </c>
    </row>
    <row r="23" spans="1:4" x14ac:dyDescent="0.3">
      <c r="A23" s="2">
        <v>45910</v>
      </c>
      <c r="B23" s="3" t="s">
        <v>6</v>
      </c>
      <c r="C23" s="3" t="s">
        <v>7</v>
      </c>
      <c r="D23" s="4">
        <v>110.97</v>
      </c>
    </row>
    <row r="24" spans="1:4" x14ac:dyDescent="0.3">
      <c r="A24" s="2">
        <v>45910</v>
      </c>
      <c r="B24" s="3" t="s">
        <v>8</v>
      </c>
      <c r="C24" s="3" t="s">
        <v>7</v>
      </c>
      <c r="D24" s="4">
        <v>25.5</v>
      </c>
    </row>
    <row r="25" spans="1:4" x14ac:dyDescent="0.3">
      <c r="A25" s="2">
        <v>45910</v>
      </c>
      <c r="B25" s="3" t="s">
        <v>14</v>
      </c>
      <c r="C25" s="3" t="s">
        <v>11</v>
      </c>
      <c r="D25" s="4">
        <v>162.27000000000001</v>
      </c>
    </row>
    <row r="26" spans="1:4" x14ac:dyDescent="0.3">
      <c r="A26" s="2">
        <v>45911</v>
      </c>
      <c r="B26" s="3" t="s">
        <v>6</v>
      </c>
      <c r="C26" s="3" t="s">
        <v>7</v>
      </c>
      <c r="D26" s="4">
        <v>64.62</v>
      </c>
    </row>
    <row r="27" spans="1:4" x14ac:dyDescent="0.3">
      <c r="A27" s="2">
        <v>45911</v>
      </c>
      <c r="B27" s="3" t="s">
        <v>12</v>
      </c>
      <c r="C27" s="3" t="s">
        <v>11</v>
      </c>
      <c r="D27" s="4">
        <v>118.85</v>
      </c>
    </row>
    <row r="28" spans="1:4" x14ac:dyDescent="0.3">
      <c r="A28" s="2">
        <v>45911</v>
      </c>
      <c r="B28" s="3" t="s">
        <v>9</v>
      </c>
      <c r="C28" s="3" t="s">
        <v>7</v>
      </c>
      <c r="D28" s="4">
        <v>206.86</v>
      </c>
    </row>
    <row r="29" spans="1:4" x14ac:dyDescent="0.3">
      <c r="A29" s="2">
        <v>45912</v>
      </c>
      <c r="B29" s="3" t="s">
        <v>6</v>
      </c>
      <c r="C29" s="3" t="s">
        <v>7</v>
      </c>
      <c r="D29" s="4">
        <v>54.24</v>
      </c>
    </row>
    <row r="30" spans="1:4" x14ac:dyDescent="0.3">
      <c r="A30" s="2">
        <v>45912</v>
      </c>
      <c r="B30" s="3" t="s">
        <v>8</v>
      </c>
      <c r="C30" s="3" t="s">
        <v>7</v>
      </c>
      <c r="D30" s="4">
        <v>49.87</v>
      </c>
    </row>
    <row r="31" spans="1:4" x14ac:dyDescent="0.3">
      <c r="A31" s="2">
        <v>45912</v>
      </c>
      <c r="B31" s="3" t="s">
        <v>10</v>
      </c>
      <c r="C31" s="3" t="s">
        <v>11</v>
      </c>
      <c r="D31" s="4">
        <v>460.36</v>
      </c>
    </row>
    <row r="32" spans="1:4" x14ac:dyDescent="0.3">
      <c r="A32" s="2">
        <v>45913</v>
      </c>
      <c r="B32" s="3" t="s">
        <v>8</v>
      </c>
      <c r="C32" s="3" t="s">
        <v>7</v>
      </c>
      <c r="D32" s="4">
        <v>25.56</v>
      </c>
    </row>
    <row r="33" spans="1:4" x14ac:dyDescent="0.3">
      <c r="A33" s="2">
        <v>45913</v>
      </c>
      <c r="B33" s="3" t="s">
        <v>12</v>
      </c>
      <c r="C33" s="3" t="s">
        <v>11</v>
      </c>
      <c r="D33" s="4">
        <v>273.91000000000003</v>
      </c>
    </row>
    <row r="34" spans="1:4" x14ac:dyDescent="0.3">
      <c r="A34" s="2">
        <v>45914</v>
      </c>
      <c r="B34" s="3" t="s">
        <v>8</v>
      </c>
      <c r="C34" s="3" t="s">
        <v>7</v>
      </c>
      <c r="D34" s="4">
        <v>33.35</v>
      </c>
    </row>
    <row r="35" spans="1:4" x14ac:dyDescent="0.3">
      <c r="A35" s="2">
        <v>45914</v>
      </c>
      <c r="B35" s="3" t="s">
        <v>14</v>
      </c>
      <c r="C35" s="3" t="s">
        <v>11</v>
      </c>
      <c r="D35" s="4">
        <v>232.53</v>
      </c>
    </row>
    <row r="36" spans="1:4" x14ac:dyDescent="0.3">
      <c r="A36" s="2">
        <v>45915</v>
      </c>
      <c r="B36" s="3" t="s">
        <v>8</v>
      </c>
      <c r="C36" s="3" t="s">
        <v>7</v>
      </c>
      <c r="D36" s="4">
        <v>42.08</v>
      </c>
    </row>
    <row r="37" spans="1:4" x14ac:dyDescent="0.3">
      <c r="A37" s="2">
        <v>45915</v>
      </c>
      <c r="B37" s="3" t="s">
        <v>10</v>
      </c>
      <c r="C37" s="3" t="s">
        <v>11</v>
      </c>
      <c r="D37" s="4">
        <v>262.08</v>
      </c>
    </row>
    <row r="38" spans="1:4" x14ac:dyDescent="0.3">
      <c r="A38" s="2">
        <v>45916</v>
      </c>
      <c r="B38" s="3" t="s">
        <v>6</v>
      </c>
      <c r="C38" s="3" t="s">
        <v>7</v>
      </c>
      <c r="D38" s="4">
        <v>111.94</v>
      </c>
    </row>
    <row r="39" spans="1:4" x14ac:dyDescent="0.3">
      <c r="A39" s="2">
        <v>45916</v>
      </c>
      <c r="B39" s="3" t="s">
        <v>9</v>
      </c>
      <c r="C39" s="3" t="s">
        <v>7</v>
      </c>
      <c r="D39" s="4">
        <v>269.5</v>
      </c>
    </row>
    <row r="40" spans="1:4" x14ac:dyDescent="0.3">
      <c r="A40" s="2">
        <v>45917</v>
      </c>
      <c r="B40" s="3" t="s">
        <v>6</v>
      </c>
      <c r="C40" s="3" t="s">
        <v>7</v>
      </c>
      <c r="D40" s="4">
        <v>82.4</v>
      </c>
    </row>
    <row r="41" spans="1:4" x14ac:dyDescent="0.3">
      <c r="A41" s="2">
        <v>45917</v>
      </c>
      <c r="B41" s="3" t="s">
        <v>8</v>
      </c>
      <c r="C41" s="3" t="s">
        <v>7</v>
      </c>
      <c r="D41" s="4">
        <v>42.02</v>
      </c>
    </row>
    <row r="42" spans="1:4" x14ac:dyDescent="0.3">
      <c r="A42" s="2">
        <v>45917</v>
      </c>
      <c r="B42" s="3" t="s">
        <v>12</v>
      </c>
      <c r="C42" s="3" t="s">
        <v>11</v>
      </c>
      <c r="D42" s="4">
        <v>290.11</v>
      </c>
    </row>
    <row r="43" spans="1:4" x14ac:dyDescent="0.3">
      <c r="A43" s="2">
        <v>45918</v>
      </c>
      <c r="B43" s="3" t="s">
        <v>8</v>
      </c>
      <c r="C43" s="3" t="s">
        <v>7</v>
      </c>
      <c r="D43" s="4">
        <v>23.73</v>
      </c>
    </row>
    <row r="44" spans="1:4" x14ac:dyDescent="0.3">
      <c r="A44" s="2">
        <v>45918</v>
      </c>
      <c r="B44" s="3" t="s">
        <v>9</v>
      </c>
      <c r="C44" s="3" t="s">
        <v>7</v>
      </c>
      <c r="D44" s="4">
        <v>127.93</v>
      </c>
    </row>
    <row r="45" spans="1:4" x14ac:dyDescent="0.3">
      <c r="A45" s="2">
        <v>45919</v>
      </c>
      <c r="B45" s="3" t="s">
        <v>8</v>
      </c>
      <c r="C45" s="3" t="s">
        <v>7</v>
      </c>
      <c r="D45" s="4">
        <v>33.92</v>
      </c>
    </row>
    <row r="46" spans="1:4" x14ac:dyDescent="0.3">
      <c r="A46" s="2">
        <v>45919</v>
      </c>
      <c r="B46" s="3" t="s">
        <v>14</v>
      </c>
      <c r="C46" s="3" t="s">
        <v>11</v>
      </c>
      <c r="D46" s="4">
        <v>94.94</v>
      </c>
    </row>
    <row r="47" spans="1:4" x14ac:dyDescent="0.3">
      <c r="A47" s="2">
        <v>45920</v>
      </c>
      <c r="B47" s="3" t="s">
        <v>6</v>
      </c>
      <c r="C47" s="3" t="s">
        <v>7</v>
      </c>
      <c r="D47" s="4">
        <v>54.73</v>
      </c>
    </row>
    <row r="48" spans="1:4" x14ac:dyDescent="0.3">
      <c r="A48" s="2">
        <v>45920</v>
      </c>
      <c r="B48" s="3" t="s">
        <v>14</v>
      </c>
      <c r="C48" s="3" t="s">
        <v>11</v>
      </c>
      <c r="D48" s="4">
        <v>231.08</v>
      </c>
    </row>
    <row r="49" spans="1:4" x14ac:dyDescent="0.3">
      <c r="A49" s="2">
        <v>45920</v>
      </c>
      <c r="B49" s="3" t="s">
        <v>9</v>
      </c>
      <c r="C49" s="3" t="s">
        <v>7</v>
      </c>
      <c r="D49" s="4">
        <v>109.5</v>
      </c>
    </row>
    <row r="50" spans="1:4" x14ac:dyDescent="0.3">
      <c r="A50" s="2">
        <v>45921</v>
      </c>
      <c r="B50" s="3" t="s">
        <v>6</v>
      </c>
      <c r="C50" s="3" t="s">
        <v>7</v>
      </c>
      <c r="D50" s="4">
        <v>58.82</v>
      </c>
    </row>
    <row r="51" spans="1:4" x14ac:dyDescent="0.3">
      <c r="A51" s="2">
        <v>45922</v>
      </c>
      <c r="B51" s="3" t="s">
        <v>6</v>
      </c>
      <c r="C51" s="3" t="s">
        <v>7</v>
      </c>
      <c r="D51" s="4">
        <v>56.46</v>
      </c>
    </row>
    <row r="52" spans="1:4" x14ac:dyDescent="0.3">
      <c r="A52" s="2">
        <v>45922</v>
      </c>
      <c r="B52" s="3" t="s">
        <v>8</v>
      </c>
      <c r="C52" s="3" t="s">
        <v>7</v>
      </c>
      <c r="D52" s="4">
        <v>30.79</v>
      </c>
    </row>
    <row r="53" spans="1:4" x14ac:dyDescent="0.3">
      <c r="A53" s="2">
        <v>45923</v>
      </c>
      <c r="B53" s="3" t="s">
        <v>6</v>
      </c>
      <c r="C53" s="3" t="s">
        <v>7</v>
      </c>
      <c r="D53" s="4">
        <v>76.84</v>
      </c>
    </row>
    <row r="54" spans="1:4" x14ac:dyDescent="0.3">
      <c r="A54" s="2">
        <v>45923</v>
      </c>
      <c r="B54" s="3" t="s">
        <v>8</v>
      </c>
      <c r="C54" s="3" t="s">
        <v>7</v>
      </c>
      <c r="D54" s="4">
        <v>45.39</v>
      </c>
    </row>
    <row r="55" spans="1:4" x14ac:dyDescent="0.3">
      <c r="A55" s="2">
        <v>45923</v>
      </c>
      <c r="B55" s="3" t="s">
        <v>14</v>
      </c>
      <c r="C55" s="3" t="s">
        <v>11</v>
      </c>
      <c r="D55" s="4">
        <v>88.04</v>
      </c>
    </row>
    <row r="56" spans="1:4" x14ac:dyDescent="0.3">
      <c r="A56" s="2">
        <v>45924</v>
      </c>
      <c r="B56" s="3" t="s">
        <v>6</v>
      </c>
      <c r="C56" s="3" t="s">
        <v>7</v>
      </c>
      <c r="D56" s="4">
        <v>111.55</v>
      </c>
    </row>
    <row r="57" spans="1:4" x14ac:dyDescent="0.3">
      <c r="A57" s="2">
        <v>45924</v>
      </c>
      <c r="B57" s="3" t="s">
        <v>8</v>
      </c>
      <c r="C57" s="3" t="s">
        <v>7</v>
      </c>
      <c r="D57" s="4">
        <v>45.38</v>
      </c>
    </row>
    <row r="58" spans="1:4" x14ac:dyDescent="0.3">
      <c r="A58" s="2">
        <v>45924</v>
      </c>
      <c r="B58" s="3" t="s">
        <v>12</v>
      </c>
      <c r="C58" s="3" t="s">
        <v>11</v>
      </c>
      <c r="D58" s="4">
        <v>499.71</v>
      </c>
    </row>
    <row r="59" spans="1:4" x14ac:dyDescent="0.3">
      <c r="A59" s="2">
        <v>45925</v>
      </c>
      <c r="B59" s="3" t="s">
        <v>14</v>
      </c>
      <c r="C59" s="3" t="s">
        <v>11</v>
      </c>
      <c r="D59" s="4">
        <v>147.13</v>
      </c>
    </row>
    <row r="60" spans="1:4" x14ac:dyDescent="0.3">
      <c r="A60" s="2">
        <v>45925</v>
      </c>
      <c r="B60" s="3" t="s">
        <v>12</v>
      </c>
      <c r="C60" s="3" t="s">
        <v>11</v>
      </c>
      <c r="D60" s="4">
        <v>260.42</v>
      </c>
    </row>
    <row r="61" spans="1:4" x14ac:dyDescent="0.3">
      <c r="A61" s="2">
        <v>45925</v>
      </c>
      <c r="B61" s="3" t="s">
        <v>9</v>
      </c>
      <c r="C61" s="3" t="s">
        <v>7</v>
      </c>
      <c r="D61" s="4">
        <v>144.74</v>
      </c>
    </row>
    <row r="62" spans="1:4" x14ac:dyDescent="0.3">
      <c r="A62" s="2">
        <v>45926</v>
      </c>
      <c r="B62" s="3" t="s">
        <v>6</v>
      </c>
      <c r="C62" s="3" t="s">
        <v>7</v>
      </c>
      <c r="D62" s="4">
        <v>102.27</v>
      </c>
    </row>
    <row r="63" spans="1:4" x14ac:dyDescent="0.3">
      <c r="A63" s="2">
        <v>45926</v>
      </c>
      <c r="B63" s="3" t="s">
        <v>8</v>
      </c>
      <c r="C63" s="3" t="s">
        <v>7</v>
      </c>
      <c r="D63" s="4">
        <v>30.77</v>
      </c>
    </row>
    <row r="64" spans="1:4" x14ac:dyDescent="0.3">
      <c r="A64" s="2">
        <v>45927</v>
      </c>
      <c r="B64" s="3" t="s">
        <v>6</v>
      </c>
      <c r="C64" s="3" t="s">
        <v>7</v>
      </c>
      <c r="D64" s="4">
        <v>69.78</v>
      </c>
    </row>
    <row r="65" spans="1:4" x14ac:dyDescent="0.3">
      <c r="A65" s="2">
        <v>45927</v>
      </c>
      <c r="B65" s="3" t="s">
        <v>10</v>
      </c>
      <c r="C65" s="3" t="s">
        <v>11</v>
      </c>
      <c r="D65" s="4">
        <v>392.09</v>
      </c>
    </row>
    <row r="66" spans="1:4" x14ac:dyDescent="0.3">
      <c r="A66" s="2">
        <v>45928</v>
      </c>
      <c r="B66" s="3" t="s">
        <v>6</v>
      </c>
      <c r="C66" s="3" t="s">
        <v>7</v>
      </c>
      <c r="D66" s="4">
        <v>106.85</v>
      </c>
    </row>
    <row r="67" spans="1:4" x14ac:dyDescent="0.3">
      <c r="A67" s="2">
        <v>45928</v>
      </c>
      <c r="B67" s="3" t="s">
        <v>8</v>
      </c>
      <c r="C67" s="3" t="s">
        <v>7</v>
      </c>
      <c r="D67" s="4">
        <v>48.69</v>
      </c>
    </row>
    <row r="68" spans="1:4" x14ac:dyDescent="0.3">
      <c r="A68" s="2">
        <v>45928</v>
      </c>
      <c r="B68" s="3" t="s">
        <v>14</v>
      </c>
      <c r="C68" s="3" t="s">
        <v>11</v>
      </c>
      <c r="D68" s="4">
        <v>87.16</v>
      </c>
    </row>
    <row r="69" spans="1:4" x14ac:dyDescent="0.3">
      <c r="A69" s="2">
        <v>45929</v>
      </c>
      <c r="B69" s="3" t="s">
        <v>6</v>
      </c>
      <c r="C69" s="3" t="s">
        <v>7</v>
      </c>
      <c r="D69" s="4">
        <v>109.35</v>
      </c>
    </row>
    <row r="70" spans="1:4" x14ac:dyDescent="0.3">
      <c r="A70" s="2">
        <v>45929</v>
      </c>
      <c r="B70" s="3" t="s">
        <v>8</v>
      </c>
      <c r="C70" s="3" t="s">
        <v>7</v>
      </c>
      <c r="D70" s="4">
        <v>36.479999999999997</v>
      </c>
    </row>
    <row r="71" spans="1:4" x14ac:dyDescent="0.3">
      <c r="A71" s="2">
        <v>45930</v>
      </c>
      <c r="B71" s="3" t="s">
        <v>8</v>
      </c>
      <c r="C71" s="3" t="s">
        <v>7</v>
      </c>
      <c r="D71" s="4">
        <v>40.54</v>
      </c>
    </row>
    <row r="72" spans="1:4" x14ac:dyDescent="0.3">
      <c r="A72" s="2">
        <v>45930</v>
      </c>
      <c r="B72" s="3" t="s">
        <v>14</v>
      </c>
      <c r="C72" s="3" t="s">
        <v>11</v>
      </c>
      <c r="D72" s="4">
        <v>129.16</v>
      </c>
    </row>
    <row r="73" spans="1:4" x14ac:dyDescent="0.3">
      <c r="A73" s="2">
        <v>45931</v>
      </c>
      <c r="B73" s="3" t="s">
        <v>4</v>
      </c>
      <c r="C73" s="3" t="s">
        <v>5</v>
      </c>
      <c r="D73" s="4">
        <v>3000</v>
      </c>
    </row>
    <row r="74" spans="1:4" x14ac:dyDescent="0.3">
      <c r="A74" s="2">
        <v>45931</v>
      </c>
      <c r="B74" s="3" t="s">
        <v>6</v>
      </c>
      <c r="C74" s="3" t="s">
        <v>7</v>
      </c>
      <c r="D74" s="4">
        <v>80.55</v>
      </c>
    </row>
    <row r="75" spans="1:4" x14ac:dyDescent="0.3">
      <c r="A75" s="2">
        <v>45931</v>
      </c>
      <c r="B75" s="3" t="s">
        <v>12</v>
      </c>
      <c r="C75" s="3" t="s">
        <v>11</v>
      </c>
      <c r="D75" s="4">
        <v>185.26</v>
      </c>
    </row>
    <row r="76" spans="1:4" x14ac:dyDescent="0.3">
      <c r="A76" s="2">
        <v>45932</v>
      </c>
      <c r="B76" s="3" t="s">
        <v>12</v>
      </c>
      <c r="C76" s="3" t="s">
        <v>11</v>
      </c>
      <c r="D76" s="4">
        <v>433.5</v>
      </c>
    </row>
    <row r="77" spans="1:4" x14ac:dyDescent="0.3">
      <c r="A77" s="2">
        <v>45933</v>
      </c>
      <c r="B77" s="3" t="s">
        <v>14</v>
      </c>
      <c r="C77" s="3" t="s">
        <v>11</v>
      </c>
      <c r="D77" s="4">
        <v>213.42</v>
      </c>
    </row>
    <row r="78" spans="1:4" x14ac:dyDescent="0.3">
      <c r="A78" s="2">
        <v>45934</v>
      </c>
      <c r="B78" s="3" t="s">
        <v>6</v>
      </c>
      <c r="C78" s="3" t="s">
        <v>7</v>
      </c>
      <c r="D78" s="4">
        <v>57.7</v>
      </c>
    </row>
    <row r="79" spans="1:4" x14ac:dyDescent="0.3">
      <c r="A79" s="2">
        <v>45934</v>
      </c>
      <c r="B79" s="3" t="s">
        <v>8</v>
      </c>
      <c r="C79" s="3" t="s">
        <v>7</v>
      </c>
      <c r="D79" s="4">
        <v>35.11</v>
      </c>
    </row>
    <row r="80" spans="1:4" x14ac:dyDescent="0.3">
      <c r="A80" s="2">
        <v>45935</v>
      </c>
      <c r="B80" s="3" t="s">
        <v>8</v>
      </c>
      <c r="C80" s="3" t="s">
        <v>7</v>
      </c>
      <c r="D80" s="4">
        <v>32.950000000000003</v>
      </c>
    </row>
    <row r="81" spans="1:4" x14ac:dyDescent="0.3">
      <c r="A81" s="2">
        <v>45935</v>
      </c>
      <c r="B81" s="3" t="s">
        <v>9</v>
      </c>
      <c r="C81" s="3" t="s">
        <v>7</v>
      </c>
      <c r="D81" s="4">
        <v>155.88999999999999</v>
      </c>
    </row>
    <row r="82" spans="1:4" x14ac:dyDescent="0.3">
      <c r="A82" s="2">
        <v>45935</v>
      </c>
      <c r="B82" s="3" t="s">
        <v>13</v>
      </c>
      <c r="C82" s="3" t="s">
        <v>7</v>
      </c>
      <c r="D82" s="4">
        <v>200.71</v>
      </c>
    </row>
    <row r="83" spans="1:4" x14ac:dyDescent="0.3">
      <c r="A83" s="2">
        <v>45937</v>
      </c>
      <c r="B83" s="3" t="s">
        <v>6</v>
      </c>
      <c r="C83" s="3" t="s">
        <v>7</v>
      </c>
      <c r="D83" s="4">
        <v>55.02</v>
      </c>
    </row>
    <row r="84" spans="1:4" x14ac:dyDescent="0.3">
      <c r="A84" s="2">
        <v>45938</v>
      </c>
      <c r="B84" s="3" t="s">
        <v>6</v>
      </c>
      <c r="C84" s="3" t="s">
        <v>7</v>
      </c>
      <c r="D84" s="4">
        <v>58.5</v>
      </c>
    </row>
    <row r="85" spans="1:4" x14ac:dyDescent="0.3">
      <c r="A85" s="2">
        <v>45938</v>
      </c>
      <c r="B85" s="3" t="s">
        <v>8</v>
      </c>
      <c r="C85" s="3" t="s">
        <v>7</v>
      </c>
      <c r="D85" s="4">
        <v>46.63</v>
      </c>
    </row>
    <row r="86" spans="1:4" x14ac:dyDescent="0.3">
      <c r="A86" s="2">
        <v>45939</v>
      </c>
      <c r="B86" s="3" t="s">
        <v>6</v>
      </c>
      <c r="C86" s="3" t="s">
        <v>7</v>
      </c>
      <c r="D86" s="4">
        <v>56.85</v>
      </c>
    </row>
    <row r="87" spans="1:4" x14ac:dyDescent="0.3">
      <c r="A87" s="2">
        <v>45940</v>
      </c>
      <c r="B87" s="3" t="s">
        <v>10</v>
      </c>
      <c r="C87" s="3" t="s">
        <v>11</v>
      </c>
      <c r="D87" s="4">
        <v>468.28</v>
      </c>
    </row>
    <row r="88" spans="1:4" x14ac:dyDescent="0.3">
      <c r="A88" s="2">
        <v>45941</v>
      </c>
      <c r="B88" s="3" t="s">
        <v>6</v>
      </c>
      <c r="C88" s="3" t="s">
        <v>7</v>
      </c>
      <c r="D88" s="4">
        <v>112.05</v>
      </c>
    </row>
    <row r="89" spans="1:4" x14ac:dyDescent="0.3">
      <c r="A89" s="2">
        <v>45942</v>
      </c>
      <c r="B89" s="3" t="s">
        <v>6</v>
      </c>
      <c r="C89" s="3" t="s">
        <v>7</v>
      </c>
      <c r="D89" s="4">
        <v>108.14</v>
      </c>
    </row>
    <row r="90" spans="1:4" x14ac:dyDescent="0.3">
      <c r="A90" s="2">
        <v>45942</v>
      </c>
      <c r="B90" s="3" t="s">
        <v>14</v>
      </c>
      <c r="C90" s="3" t="s">
        <v>11</v>
      </c>
      <c r="D90" s="4">
        <v>213.32</v>
      </c>
    </row>
    <row r="91" spans="1:4" x14ac:dyDescent="0.3">
      <c r="A91" s="2">
        <v>45943</v>
      </c>
      <c r="B91" s="3" t="s">
        <v>6</v>
      </c>
      <c r="C91" s="3" t="s">
        <v>7</v>
      </c>
      <c r="D91" s="4">
        <v>51.58</v>
      </c>
    </row>
    <row r="92" spans="1:4" x14ac:dyDescent="0.3">
      <c r="A92" s="2">
        <v>45943</v>
      </c>
      <c r="B92" s="3" t="s">
        <v>8</v>
      </c>
      <c r="C92" s="3" t="s">
        <v>7</v>
      </c>
      <c r="D92" s="4">
        <v>27.61</v>
      </c>
    </row>
    <row r="93" spans="1:4" x14ac:dyDescent="0.3">
      <c r="A93" s="2">
        <v>45944</v>
      </c>
      <c r="B93" s="3" t="s">
        <v>6</v>
      </c>
      <c r="C93" s="3" t="s">
        <v>7</v>
      </c>
      <c r="D93" s="4">
        <v>115.41</v>
      </c>
    </row>
    <row r="94" spans="1:4" x14ac:dyDescent="0.3">
      <c r="A94" s="2">
        <v>45944</v>
      </c>
      <c r="B94" s="3" t="s">
        <v>8</v>
      </c>
      <c r="C94" s="3" t="s">
        <v>7</v>
      </c>
      <c r="D94" s="4">
        <v>47.97</v>
      </c>
    </row>
    <row r="95" spans="1:4" x14ac:dyDescent="0.3">
      <c r="A95" s="2">
        <v>45944</v>
      </c>
      <c r="B95" s="3" t="s">
        <v>14</v>
      </c>
      <c r="C95" s="3" t="s">
        <v>11</v>
      </c>
      <c r="D95" s="4">
        <v>244.08</v>
      </c>
    </row>
    <row r="96" spans="1:4" x14ac:dyDescent="0.3">
      <c r="A96" s="2">
        <v>45944</v>
      </c>
      <c r="B96" s="3" t="s">
        <v>12</v>
      </c>
      <c r="C96" s="3" t="s">
        <v>11</v>
      </c>
      <c r="D96" s="4">
        <v>485.01</v>
      </c>
    </row>
    <row r="97" spans="1:4" x14ac:dyDescent="0.3">
      <c r="A97" s="2">
        <v>45944</v>
      </c>
      <c r="B97" s="3" t="s">
        <v>10</v>
      </c>
      <c r="C97" s="3" t="s">
        <v>11</v>
      </c>
      <c r="D97" s="4">
        <v>317.27999999999997</v>
      </c>
    </row>
    <row r="98" spans="1:4" x14ac:dyDescent="0.3">
      <c r="A98" s="2">
        <v>45945</v>
      </c>
      <c r="B98" s="3" t="s">
        <v>8</v>
      </c>
      <c r="C98" s="3" t="s">
        <v>7</v>
      </c>
      <c r="D98" s="4">
        <v>36.869999999999997</v>
      </c>
    </row>
    <row r="99" spans="1:4" x14ac:dyDescent="0.3">
      <c r="A99" s="2">
        <v>45946</v>
      </c>
      <c r="B99" s="3" t="s">
        <v>8</v>
      </c>
      <c r="C99" s="3" t="s">
        <v>7</v>
      </c>
      <c r="D99" s="4">
        <v>47.52</v>
      </c>
    </row>
    <row r="100" spans="1:4" x14ac:dyDescent="0.3">
      <c r="A100" s="2">
        <v>45947</v>
      </c>
      <c r="B100" s="3" t="s">
        <v>6</v>
      </c>
      <c r="C100" s="3" t="s">
        <v>7</v>
      </c>
      <c r="D100" s="4">
        <v>54.66</v>
      </c>
    </row>
    <row r="101" spans="1:4" x14ac:dyDescent="0.3">
      <c r="A101" s="2">
        <v>45948</v>
      </c>
      <c r="B101" s="3" t="s">
        <v>6</v>
      </c>
      <c r="C101" s="3" t="s">
        <v>7</v>
      </c>
      <c r="D101" s="4">
        <v>70.62</v>
      </c>
    </row>
    <row r="102" spans="1:4" x14ac:dyDescent="0.3">
      <c r="A102" s="2">
        <v>45948</v>
      </c>
      <c r="B102" s="3" t="s">
        <v>8</v>
      </c>
      <c r="C102" s="3" t="s">
        <v>7</v>
      </c>
      <c r="D102" s="4">
        <v>30.08</v>
      </c>
    </row>
    <row r="103" spans="1:4" x14ac:dyDescent="0.3">
      <c r="A103" s="2">
        <v>45948</v>
      </c>
      <c r="B103" s="3" t="s">
        <v>12</v>
      </c>
      <c r="C103" s="3" t="s">
        <v>11</v>
      </c>
      <c r="D103" s="4">
        <v>268.18</v>
      </c>
    </row>
    <row r="104" spans="1:4" x14ac:dyDescent="0.3">
      <c r="A104" s="2">
        <v>45949</v>
      </c>
      <c r="B104" s="3" t="s">
        <v>9</v>
      </c>
      <c r="C104" s="3" t="s">
        <v>7</v>
      </c>
      <c r="D104" s="4">
        <v>121.73</v>
      </c>
    </row>
    <row r="105" spans="1:4" x14ac:dyDescent="0.3">
      <c r="A105" s="2">
        <v>45950</v>
      </c>
      <c r="B105" s="3" t="s">
        <v>9</v>
      </c>
      <c r="C105" s="3" t="s">
        <v>7</v>
      </c>
      <c r="D105" s="4">
        <v>168.3</v>
      </c>
    </row>
    <row r="106" spans="1:4" x14ac:dyDescent="0.3">
      <c r="A106" s="2">
        <v>45951</v>
      </c>
      <c r="B106" s="3" t="s">
        <v>8</v>
      </c>
      <c r="C106" s="3" t="s">
        <v>7</v>
      </c>
      <c r="D106" s="4">
        <v>19.489999999999998</v>
      </c>
    </row>
    <row r="107" spans="1:4" x14ac:dyDescent="0.3">
      <c r="A107" s="2">
        <v>45952</v>
      </c>
      <c r="B107" s="3" t="s">
        <v>14</v>
      </c>
      <c r="C107" s="3" t="s">
        <v>11</v>
      </c>
      <c r="D107" s="4">
        <v>89.83</v>
      </c>
    </row>
    <row r="108" spans="1:4" x14ac:dyDescent="0.3">
      <c r="A108" s="2">
        <v>45952</v>
      </c>
      <c r="B108" s="3" t="s">
        <v>12</v>
      </c>
      <c r="C108" s="3" t="s">
        <v>11</v>
      </c>
      <c r="D108" s="4">
        <v>197.94</v>
      </c>
    </row>
    <row r="109" spans="1:4" x14ac:dyDescent="0.3">
      <c r="A109" s="2">
        <v>45953</v>
      </c>
      <c r="B109" s="3" t="s">
        <v>6</v>
      </c>
      <c r="C109" s="3" t="s">
        <v>7</v>
      </c>
      <c r="D109" s="4">
        <v>77.63</v>
      </c>
    </row>
    <row r="110" spans="1:4" x14ac:dyDescent="0.3">
      <c r="A110" s="2">
        <v>45953</v>
      </c>
      <c r="B110" s="3" t="s">
        <v>14</v>
      </c>
      <c r="C110" s="3" t="s">
        <v>11</v>
      </c>
      <c r="D110" s="4">
        <v>189.27</v>
      </c>
    </row>
    <row r="111" spans="1:4" x14ac:dyDescent="0.3">
      <c r="A111" s="2">
        <v>45953</v>
      </c>
      <c r="B111" s="3" t="s">
        <v>9</v>
      </c>
      <c r="C111" s="3" t="s">
        <v>7</v>
      </c>
      <c r="D111" s="4">
        <v>214.01</v>
      </c>
    </row>
    <row r="112" spans="1:4" x14ac:dyDescent="0.3">
      <c r="A112" s="2">
        <v>45953</v>
      </c>
      <c r="B112" s="3" t="s">
        <v>10</v>
      </c>
      <c r="C112" s="3" t="s">
        <v>11</v>
      </c>
      <c r="D112" s="4">
        <v>475.48</v>
      </c>
    </row>
    <row r="113" spans="1:4" x14ac:dyDescent="0.3">
      <c r="A113" s="2">
        <v>45954</v>
      </c>
      <c r="B113" s="3" t="s">
        <v>8</v>
      </c>
      <c r="C113" s="3" t="s">
        <v>7</v>
      </c>
      <c r="D113" s="4">
        <v>30.84</v>
      </c>
    </row>
    <row r="114" spans="1:4" x14ac:dyDescent="0.3">
      <c r="A114" s="2">
        <v>45954</v>
      </c>
      <c r="B114" s="3" t="s">
        <v>14</v>
      </c>
      <c r="C114" s="3" t="s">
        <v>11</v>
      </c>
      <c r="D114" s="4">
        <v>241.59</v>
      </c>
    </row>
    <row r="115" spans="1:4" x14ac:dyDescent="0.3">
      <c r="A115" s="2">
        <v>45954</v>
      </c>
      <c r="B115" s="3" t="s">
        <v>9</v>
      </c>
      <c r="C115" s="3" t="s">
        <v>7</v>
      </c>
      <c r="D115" s="4">
        <v>112.3</v>
      </c>
    </row>
    <row r="116" spans="1:4" x14ac:dyDescent="0.3">
      <c r="A116" s="2">
        <v>45955</v>
      </c>
      <c r="B116" s="3" t="s">
        <v>6</v>
      </c>
      <c r="C116" s="3" t="s">
        <v>7</v>
      </c>
      <c r="D116" s="4">
        <v>103.43</v>
      </c>
    </row>
    <row r="117" spans="1:4" x14ac:dyDescent="0.3">
      <c r="A117" s="2">
        <v>45957</v>
      </c>
      <c r="B117" s="3" t="s">
        <v>8</v>
      </c>
      <c r="C117" s="3" t="s">
        <v>7</v>
      </c>
      <c r="D117" s="4">
        <v>25.31</v>
      </c>
    </row>
    <row r="118" spans="1:4" x14ac:dyDescent="0.3">
      <c r="A118" s="2">
        <v>45957</v>
      </c>
      <c r="B118" s="3" t="s">
        <v>14</v>
      </c>
      <c r="C118" s="3" t="s">
        <v>11</v>
      </c>
      <c r="D118" s="4">
        <v>177.53</v>
      </c>
    </row>
    <row r="119" spans="1:4" x14ac:dyDescent="0.3">
      <c r="A119" s="2">
        <v>45958</v>
      </c>
      <c r="B119" s="3" t="s">
        <v>6</v>
      </c>
      <c r="C119" s="3" t="s">
        <v>7</v>
      </c>
      <c r="D119" s="4">
        <v>55.17</v>
      </c>
    </row>
    <row r="120" spans="1:4" x14ac:dyDescent="0.3">
      <c r="A120" s="2">
        <v>45958</v>
      </c>
      <c r="B120" s="3" t="s">
        <v>8</v>
      </c>
      <c r="C120" s="3" t="s">
        <v>7</v>
      </c>
      <c r="D120" s="4">
        <v>25.72</v>
      </c>
    </row>
    <row r="121" spans="1:4" x14ac:dyDescent="0.3">
      <c r="A121" s="2">
        <v>45958</v>
      </c>
      <c r="B121" s="3" t="s">
        <v>9</v>
      </c>
      <c r="C121" s="3" t="s">
        <v>7</v>
      </c>
      <c r="D121" s="4">
        <v>107.82</v>
      </c>
    </row>
    <row r="122" spans="1:4" x14ac:dyDescent="0.3">
      <c r="A122" s="2">
        <v>45959</v>
      </c>
      <c r="B122" s="3" t="s">
        <v>8</v>
      </c>
      <c r="C122" s="3" t="s">
        <v>7</v>
      </c>
      <c r="D122" s="4">
        <v>30.25</v>
      </c>
    </row>
    <row r="123" spans="1:4" x14ac:dyDescent="0.3">
      <c r="A123" s="2">
        <v>45959</v>
      </c>
      <c r="B123" s="3" t="s">
        <v>9</v>
      </c>
      <c r="C123" s="3" t="s">
        <v>7</v>
      </c>
      <c r="D123" s="4">
        <v>155.04</v>
      </c>
    </row>
    <row r="124" spans="1:4" x14ac:dyDescent="0.3">
      <c r="A124" s="2">
        <v>45960</v>
      </c>
      <c r="B124" s="3" t="s">
        <v>10</v>
      </c>
      <c r="C124" s="3" t="s">
        <v>11</v>
      </c>
      <c r="D124" s="4">
        <v>275.88</v>
      </c>
    </row>
    <row r="125" spans="1:4" x14ac:dyDescent="0.3">
      <c r="A125" s="2">
        <v>45962</v>
      </c>
      <c r="B125" s="3" t="s">
        <v>4</v>
      </c>
      <c r="C125" s="3" t="s">
        <v>5</v>
      </c>
      <c r="D125" s="4">
        <v>3000</v>
      </c>
    </row>
    <row r="126" spans="1:4" x14ac:dyDescent="0.3">
      <c r="A126" s="2">
        <v>45962</v>
      </c>
      <c r="B126" s="3" t="s">
        <v>6</v>
      </c>
      <c r="C126" s="3" t="s">
        <v>7</v>
      </c>
      <c r="D126" s="4">
        <v>64.63</v>
      </c>
    </row>
    <row r="127" spans="1:4" x14ac:dyDescent="0.3">
      <c r="A127" s="2">
        <v>45962</v>
      </c>
      <c r="B127" s="3" t="s">
        <v>8</v>
      </c>
      <c r="C127" s="3" t="s">
        <v>7</v>
      </c>
      <c r="D127" s="4">
        <v>17.63</v>
      </c>
    </row>
    <row r="128" spans="1:4" x14ac:dyDescent="0.3">
      <c r="A128" s="2">
        <v>45963</v>
      </c>
      <c r="B128" s="3" t="s">
        <v>6</v>
      </c>
      <c r="C128" s="3" t="s">
        <v>7</v>
      </c>
      <c r="D128" s="4">
        <v>58.51</v>
      </c>
    </row>
    <row r="129" spans="1:4" x14ac:dyDescent="0.3">
      <c r="A129" s="2">
        <v>45963</v>
      </c>
      <c r="B129" s="3" t="s">
        <v>14</v>
      </c>
      <c r="C129" s="3" t="s">
        <v>11</v>
      </c>
      <c r="D129" s="4">
        <v>128.80000000000001</v>
      </c>
    </row>
    <row r="130" spans="1:4" x14ac:dyDescent="0.3">
      <c r="A130" s="2">
        <v>45963</v>
      </c>
      <c r="B130" s="3" t="s">
        <v>9</v>
      </c>
      <c r="C130" s="3" t="s">
        <v>7</v>
      </c>
      <c r="D130" s="4">
        <v>210.69</v>
      </c>
    </row>
    <row r="131" spans="1:4" x14ac:dyDescent="0.3">
      <c r="A131" s="2">
        <v>45963</v>
      </c>
      <c r="B131" s="3" t="s">
        <v>10</v>
      </c>
      <c r="C131" s="3" t="s">
        <v>11</v>
      </c>
      <c r="D131" s="4">
        <v>330.85</v>
      </c>
    </row>
    <row r="132" spans="1:4" x14ac:dyDescent="0.3">
      <c r="A132" s="2">
        <v>45964</v>
      </c>
      <c r="B132" s="3" t="s">
        <v>6</v>
      </c>
      <c r="C132" s="3" t="s">
        <v>7</v>
      </c>
      <c r="D132" s="4">
        <v>75.27</v>
      </c>
    </row>
    <row r="133" spans="1:4" x14ac:dyDescent="0.3">
      <c r="A133" s="2">
        <v>45964</v>
      </c>
      <c r="B133" s="3" t="s">
        <v>8</v>
      </c>
      <c r="C133" s="3" t="s">
        <v>7</v>
      </c>
      <c r="D133" s="4">
        <v>27.56</v>
      </c>
    </row>
    <row r="134" spans="1:4" x14ac:dyDescent="0.3">
      <c r="A134" s="2">
        <v>45965</v>
      </c>
      <c r="B134" s="3" t="s">
        <v>6</v>
      </c>
      <c r="C134" s="3" t="s">
        <v>7</v>
      </c>
      <c r="D134" s="4">
        <v>55.46</v>
      </c>
    </row>
    <row r="135" spans="1:4" x14ac:dyDescent="0.3">
      <c r="A135" s="2">
        <v>45965</v>
      </c>
      <c r="B135" s="3" t="s">
        <v>8</v>
      </c>
      <c r="C135" s="3" t="s">
        <v>7</v>
      </c>
      <c r="D135" s="4">
        <v>34.65</v>
      </c>
    </row>
    <row r="136" spans="1:4" x14ac:dyDescent="0.3">
      <c r="A136" s="2">
        <v>45966</v>
      </c>
      <c r="B136" s="3" t="s">
        <v>12</v>
      </c>
      <c r="C136" s="3" t="s">
        <v>11</v>
      </c>
      <c r="D136" s="4">
        <v>108.15</v>
      </c>
    </row>
    <row r="137" spans="1:4" x14ac:dyDescent="0.3">
      <c r="A137" s="2">
        <v>45966</v>
      </c>
      <c r="B137" s="3" t="s">
        <v>9</v>
      </c>
      <c r="C137" s="3" t="s">
        <v>7</v>
      </c>
      <c r="D137" s="4">
        <v>81.56</v>
      </c>
    </row>
    <row r="138" spans="1:4" x14ac:dyDescent="0.3">
      <c r="A138" s="2">
        <v>45966</v>
      </c>
      <c r="B138" s="3" t="s">
        <v>13</v>
      </c>
      <c r="C138" s="3" t="s">
        <v>7</v>
      </c>
      <c r="D138" s="4">
        <v>312.79000000000002</v>
      </c>
    </row>
    <row r="139" spans="1:4" x14ac:dyDescent="0.3">
      <c r="A139" s="2">
        <v>45967</v>
      </c>
      <c r="B139" s="3" t="s">
        <v>6</v>
      </c>
      <c r="C139" s="3" t="s">
        <v>7</v>
      </c>
      <c r="D139" s="4">
        <v>96.63</v>
      </c>
    </row>
    <row r="140" spans="1:4" x14ac:dyDescent="0.3">
      <c r="A140" s="2">
        <v>45967</v>
      </c>
      <c r="B140" s="3" t="s">
        <v>14</v>
      </c>
      <c r="C140" s="3" t="s">
        <v>11</v>
      </c>
      <c r="D140" s="4">
        <v>171.45</v>
      </c>
    </row>
    <row r="141" spans="1:4" x14ac:dyDescent="0.3">
      <c r="A141" s="2">
        <v>45967</v>
      </c>
      <c r="B141" s="3" t="s">
        <v>9</v>
      </c>
      <c r="C141" s="3" t="s">
        <v>7</v>
      </c>
      <c r="D141" s="4">
        <v>254.83</v>
      </c>
    </row>
    <row r="142" spans="1:4" x14ac:dyDescent="0.3">
      <c r="A142" s="2">
        <v>45968</v>
      </c>
      <c r="B142" s="3" t="s">
        <v>6</v>
      </c>
      <c r="C142" s="3" t="s">
        <v>7</v>
      </c>
      <c r="D142" s="4">
        <v>51.71</v>
      </c>
    </row>
    <row r="143" spans="1:4" x14ac:dyDescent="0.3">
      <c r="A143" s="2">
        <v>45968</v>
      </c>
      <c r="B143" s="3" t="s">
        <v>8</v>
      </c>
      <c r="C143" s="3" t="s">
        <v>7</v>
      </c>
      <c r="D143" s="4">
        <v>39.24</v>
      </c>
    </row>
    <row r="144" spans="1:4" x14ac:dyDescent="0.3">
      <c r="A144" s="2">
        <v>45968</v>
      </c>
      <c r="B144" s="3" t="s">
        <v>10</v>
      </c>
      <c r="C144" s="3" t="s">
        <v>11</v>
      </c>
      <c r="D144" s="4">
        <v>445.31</v>
      </c>
    </row>
    <row r="145" spans="1:4" x14ac:dyDescent="0.3">
      <c r="A145" s="2">
        <v>45969</v>
      </c>
      <c r="B145" s="3" t="s">
        <v>8</v>
      </c>
      <c r="C145" s="3" t="s">
        <v>7</v>
      </c>
      <c r="D145" s="4">
        <v>42.42</v>
      </c>
    </row>
    <row r="146" spans="1:4" x14ac:dyDescent="0.3">
      <c r="A146" s="2">
        <v>45969</v>
      </c>
      <c r="B146" s="3" t="s">
        <v>9</v>
      </c>
      <c r="C146" s="3" t="s">
        <v>7</v>
      </c>
      <c r="D146" s="4">
        <v>295.95999999999998</v>
      </c>
    </row>
    <row r="147" spans="1:4" x14ac:dyDescent="0.3">
      <c r="A147" s="2">
        <v>45970</v>
      </c>
      <c r="B147" s="3" t="s">
        <v>6</v>
      </c>
      <c r="C147" s="3" t="s">
        <v>7</v>
      </c>
      <c r="D147" s="4">
        <v>78.56</v>
      </c>
    </row>
    <row r="148" spans="1:4" x14ac:dyDescent="0.3">
      <c r="A148" s="2">
        <v>45970</v>
      </c>
      <c r="B148" s="3" t="s">
        <v>8</v>
      </c>
      <c r="C148" s="3" t="s">
        <v>7</v>
      </c>
      <c r="D148" s="4">
        <v>33.53</v>
      </c>
    </row>
    <row r="149" spans="1:4" x14ac:dyDescent="0.3">
      <c r="A149" s="2">
        <v>45970</v>
      </c>
      <c r="B149" s="3" t="s">
        <v>10</v>
      </c>
      <c r="C149" s="3" t="s">
        <v>11</v>
      </c>
      <c r="D149" s="4">
        <v>580.39</v>
      </c>
    </row>
    <row r="150" spans="1:4" x14ac:dyDescent="0.3">
      <c r="A150" s="2">
        <v>45972</v>
      </c>
      <c r="B150" s="3" t="s">
        <v>6</v>
      </c>
      <c r="C150" s="3" t="s">
        <v>7</v>
      </c>
      <c r="D150" s="4">
        <v>103.88</v>
      </c>
    </row>
    <row r="151" spans="1:4" x14ac:dyDescent="0.3">
      <c r="A151" s="2">
        <v>45972</v>
      </c>
      <c r="B151" s="3" t="s">
        <v>8</v>
      </c>
      <c r="C151" s="3" t="s">
        <v>7</v>
      </c>
      <c r="D151" s="4">
        <v>32.78</v>
      </c>
    </row>
    <row r="152" spans="1:4" x14ac:dyDescent="0.3">
      <c r="A152" s="2">
        <v>45973</v>
      </c>
      <c r="B152" s="3" t="s">
        <v>8</v>
      </c>
      <c r="C152" s="3" t="s">
        <v>7</v>
      </c>
      <c r="D152" s="4">
        <v>46.05</v>
      </c>
    </row>
    <row r="153" spans="1:4" x14ac:dyDescent="0.3">
      <c r="A153" s="2">
        <v>45973</v>
      </c>
      <c r="B153" s="3" t="s">
        <v>14</v>
      </c>
      <c r="C153" s="3" t="s">
        <v>11</v>
      </c>
      <c r="D153" s="4">
        <v>142.94</v>
      </c>
    </row>
    <row r="154" spans="1:4" x14ac:dyDescent="0.3">
      <c r="A154" s="2">
        <v>45973</v>
      </c>
      <c r="B154" s="3" t="s">
        <v>10</v>
      </c>
      <c r="C154" s="3" t="s">
        <v>11</v>
      </c>
      <c r="D154" s="4">
        <v>525.48</v>
      </c>
    </row>
    <row r="155" spans="1:4" x14ac:dyDescent="0.3">
      <c r="A155" s="2">
        <v>45974</v>
      </c>
      <c r="B155" s="3" t="s">
        <v>6</v>
      </c>
      <c r="C155" s="3" t="s">
        <v>7</v>
      </c>
      <c r="D155" s="4">
        <v>64.14</v>
      </c>
    </row>
    <row r="156" spans="1:4" x14ac:dyDescent="0.3">
      <c r="A156" s="2">
        <v>45975</v>
      </c>
      <c r="B156" s="3" t="s">
        <v>6</v>
      </c>
      <c r="C156" s="3" t="s">
        <v>7</v>
      </c>
      <c r="D156" s="4">
        <v>113.2</v>
      </c>
    </row>
    <row r="157" spans="1:4" x14ac:dyDescent="0.3">
      <c r="A157" s="2">
        <v>45975</v>
      </c>
      <c r="B157" s="3" t="s">
        <v>8</v>
      </c>
      <c r="C157" s="3" t="s">
        <v>7</v>
      </c>
      <c r="D157" s="4">
        <v>40.67</v>
      </c>
    </row>
    <row r="158" spans="1:4" x14ac:dyDescent="0.3">
      <c r="A158" s="2">
        <v>45976</v>
      </c>
      <c r="B158" s="3" t="s">
        <v>6</v>
      </c>
      <c r="C158" s="3" t="s">
        <v>7</v>
      </c>
      <c r="D158" s="4">
        <v>102.86</v>
      </c>
    </row>
    <row r="159" spans="1:4" x14ac:dyDescent="0.3">
      <c r="A159" s="2">
        <v>45976</v>
      </c>
      <c r="B159" s="3" t="s">
        <v>8</v>
      </c>
      <c r="C159" s="3" t="s">
        <v>7</v>
      </c>
      <c r="D159" s="4">
        <v>24.05</v>
      </c>
    </row>
    <row r="160" spans="1:4" x14ac:dyDescent="0.3">
      <c r="A160" s="2">
        <v>45977</v>
      </c>
      <c r="B160" s="3" t="s">
        <v>6</v>
      </c>
      <c r="C160" s="3" t="s">
        <v>7</v>
      </c>
      <c r="D160" s="4">
        <v>78.37</v>
      </c>
    </row>
    <row r="161" spans="1:4" x14ac:dyDescent="0.3">
      <c r="A161" s="2">
        <v>45978</v>
      </c>
      <c r="B161" s="3" t="s">
        <v>6</v>
      </c>
      <c r="C161" s="3" t="s">
        <v>7</v>
      </c>
      <c r="D161" s="4">
        <v>62.84</v>
      </c>
    </row>
    <row r="162" spans="1:4" x14ac:dyDescent="0.3">
      <c r="A162" s="2">
        <v>45978</v>
      </c>
      <c r="B162" s="3" t="s">
        <v>8</v>
      </c>
      <c r="C162" s="3" t="s">
        <v>7</v>
      </c>
      <c r="D162" s="4">
        <v>34.53</v>
      </c>
    </row>
    <row r="163" spans="1:4" x14ac:dyDescent="0.3">
      <c r="A163" s="2">
        <v>45978</v>
      </c>
      <c r="B163" s="3" t="s">
        <v>12</v>
      </c>
      <c r="C163" s="3" t="s">
        <v>11</v>
      </c>
      <c r="D163" s="4">
        <v>186.55</v>
      </c>
    </row>
    <row r="164" spans="1:4" x14ac:dyDescent="0.3">
      <c r="A164" s="2">
        <v>45979</v>
      </c>
      <c r="B164" s="3" t="s">
        <v>8</v>
      </c>
      <c r="C164" s="3" t="s">
        <v>7</v>
      </c>
      <c r="D164" s="4">
        <v>26.1</v>
      </c>
    </row>
    <row r="165" spans="1:4" x14ac:dyDescent="0.3">
      <c r="A165" s="2">
        <v>45979</v>
      </c>
      <c r="B165" s="3" t="s">
        <v>14</v>
      </c>
      <c r="C165" s="3" t="s">
        <v>11</v>
      </c>
      <c r="D165" s="4">
        <v>88.82</v>
      </c>
    </row>
    <row r="166" spans="1:4" x14ac:dyDescent="0.3">
      <c r="A166" s="2">
        <v>45979</v>
      </c>
      <c r="B166" s="3" t="s">
        <v>12</v>
      </c>
      <c r="C166" s="3" t="s">
        <v>11</v>
      </c>
      <c r="D166" s="4">
        <v>171.78</v>
      </c>
    </row>
    <row r="167" spans="1:4" x14ac:dyDescent="0.3">
      <c r="A167" s="2">
        <v>45979</v>
      </c>
      <c r="B167" s="3" t="s">
        <v>9</v>
      </c>
      <c r="C167" s="3" t="s">
        <v>7</v>
      </c>
      <c r="D167" s="4">
        <v>183.53</v>
      </c>
    </row>
    <row r="168" spans="1:4" x14ac:dyDescent="0.3">
      <c r="A168" s="2">
        <v>45980</v>
      </c>
      <c r="B168" s="3" t="s">
        <v>12</v>
      </c>
      <c r="C168" s="3" t="s">
        <v>11</v>
      </c>
      <c r="D168" s="4">
        <v>447.38</v>
      </c>
    </row>
    <row r="169" spans="1:4" x14ac:dyDescent="0.3">
      <c r="A169" s="2">
        <v>45981</v>
      </c>
      <c r="B169" s="3" t="s">
        <v>8</v>
      </c>
      <c r="C169" s="3" t="s">
        <v>7</v>
      </c>
      <c r="D169" s="4">
        <v>31.35</v>
      </c>
    </row>
    <row r="170" spans="1:4" x14ac:dyDescent="0.3">
      <c r="A170" s="2">
        <v>45981</v>
      </c>
      <c r="B170" s="3" t="s">
        <v>14</v>
      </c>
      <c r="C170" s="3" t="s">
        <v>11</v>
      </c>
      <c r="D170" s="4">
        <v>60.28</v>
      </c>
    </row>
    <row r="171" spans="1:4" x14ac:dyDescent="0.3">
      <c r="A171" s="2">
        <v>45982</v>
      </c>
      <c r="B171" s="3" t="s">
        <v>6</v>
      </c>
      <c r="C171" s="3" t="s">
        <v>7</v>
      </c>
      <c r="D171" s="4">
        <v>54.94</v>
      </c>
    </row>
    <row r="172" spans="1:4" x14ac:dyDescent="0.3">
      <c r="A172" s="2">
        <v>45982</v>
      </c>
      <c r="B172" s="3" t="s">
        <v>14</v>
      </c>
      <c r="C172" s="3" t="s">
        <v>11</v>
      </c>
      <c r="D172" s="4">
        <v>79.84</v>
      </c>
    </row>
    <row r="173" spans="1:4" x14ac:dyDescent="0.3">
      <c r="A173" s="2">
        <v>45983</v>
      </c>
      <c r="B173" s="3" t="s">
        <v>6</v>
      </c>
      <c r="C173" s="3" t="s">
        <v>7</v>
      </c>
      <c r="D173" s="4">
        <v>100.96</v>
      </c>
    </row>
    <row r="174" spans="1:4" x14ac:dyDescent="0.3">
      <c r="A174" s="2">
        <v>45983</v>
      </c>
      <c r="B174" s="3" t="s">
        <v>12</v>
      </c>
      <c r="C174" s="3" t="s">
        <v>11</v>
      </c>
      <c r="D174" s="4">
        <v>309.02999999999997</v>
      </c>
    </row>
    <row r="175" spans="1:4" x14ac:dyDescent="0.3">
      <c r="A175" s="2">
        <v>45985</v>
      </c>
      <c r="B175" s="3" t="s">
        <v>8</v>
      </c>
      <c r="C175" s="3" t="s">
        <v>7</v>
      </c>
      <c r="D175" s="4">
        <v>23.7</v>
      </c>
    </row>
    <row r="176" spans="1:4" x14ac:dyDescent="0.3">
      <c r="A176" s="2">
        <v>45985</v>
      </c>
      <c r="B176" s="3" t="s">
        <v>12</v>
      </c>
      <c r="C176" s="3" t="s">
        <v>11</v>
      </c>
      <c r="D176" s="4">
        <v>169.53</v>
      </c>
    </row>
    <row r="177" spans="1:4" x14ac:dyDescent="0.3">
      <c r="A177" s="2">
        <v>45985</v>
      </c>
      <c r="B177" s="3" t="s">
        <v>9</v>
      </c>
      <c r="C177" s="3" t="s">
        <v>7</v>
      </c>
      <c r="D177" s="4">
        <v>50.67</v>
      </c>
    </row>
    <row r="178" spans="1:4" x14ac:dyDescent="0.3">
      <c r="A178" s="2">
        <v>45986</v>
      </c>
      <c r="B178" s="3" t="s">
        <v>8</v>
      </c>
      <c r="C178" s="3" t="s">
        <v>7</v>
      </c>
      <c r="D178" s="4">
        <v>24.38</v>
      </c>
    </row>
    <row r="179" spans="1:4" x14ac:dyDescent="0.3">
      <c r="A179" s="2">
        <v>45988</v>
      </c>
      <c r="B179" s="3" t="s">
        <v>6</v>
      </c>
      <c r="C179" s="3" t="s">
        <v>7</v>
      </c>
      <c r="D179" s="4">
        <v>93.18</v>
      </c>
    </row>
    <row r="180" spans="1:4" x14ac:dyDescent="0.3">
      <c r="A180" s="2">
        <v>45988</v>
      </c>
      <c r="B180" s="3" t="s">
        <v>12</v>
      </c>
      <c r="C180" s="3" t="s">
        <v>11</v>
      </c>
      <c r="D180" s="4">
        <v>166.37</v>
      </c>
    </row>
    <row r="181" spans="1:4" x14ac:dyDescent="0.3">
      <c r="A181" s="2">
        <v>45989</v>
      </c>
      <c r="B181" s="3" t="s">
        <v>8</v>
      </c>
      <c r="C181" s="3" t="s">
        <v>7</v>
      </c>
      <c r="D181" s="4">
        <v>20.81</v>
      </c>
    </row>
    <row r="182" spans="1:4" x14ac:dyDescent="0.3">
      <c r="A182" s="2">
        <v>45990</v>
      </c>
      <c r="B182" s="3" t="s">
        <v>6</v>
      </c>
      <c r="C182" s="3" t="s">
        <v>7</v>
      </c>
      <c r="D182" s="4">
        <v>55.36</v>
      </c>
    </row>
    <row r="183" spans="1:4" x14ac:dyDescent="0.3">
      <c r="A183" s="2">
        <v>45990</v>
      </c>
      <c r="B183" s="3" t="s">
        <v>8</v>
      </c>
      <c r="C183" s="3" t="s">
        <v>7</v>
      </c>
      <c r="D183" s="4">
        <v>31.07</v>
      </c>
    </row>
    <row r="184" spans="1:4" x14ac:dyDescent="0.3">
      <c r="A184" s="2">
        <v>45990</v>
      </c>
      <c r="B184" s="3" t="s">
        <v>9</v>
      </c>
      <c r="C184" s="3" t="s">
        <v>7</v>
      </c>
      <c r="D184" s="4">
        <v>290.48</v>
      </c>
    </row>
    <row r="185" spans="1:4" x14ac:dyDescent="0.3">
      <c r="A185" s="2">
        <v>45991</v>
      </c>
      <c r="B185" s="3" t="s">
        <v>10</v>
      </c>
      <c r="C185" s="3" t="s">
        <v>11</v>
      </c>
      <c r="D185" s="4">
        <v>478.13</v>
      </c>
    </row>
    <row r="186" spans="1:4" x14ac:dyDescent="0.3">
      <c r="A186" s="2">
        <v>45992</v>
      </c>
      <c r="B186" s="3" t="s">
        <v>4</v>
      </c>
      <c r="C186" s="3" t="s">
        <v>5</v>
      </c>
      <c r="D186" s="4">
        <v>3000</v>
      </c>
    </row>
    <row r="187" spans="1:4" x14ac:dyDescent="0.3">
      <c r="A187" s="2">
        <v>45992</v>
      </c>
      <c r="B187" s="3" t="s">
        <v>14</v>
      </c>
      <c r="C187" s="3" t="s">
        <v>11</v>
      </c>
      <c r="D187" s="4">
        <v>167.07</v>
      </c>
    </row>
    <row r="188" spans="1:4" x14ac:dyDescent="0.3">
      <c r="A188" s="2">
        <v>45992</v>
      </c>
      <c r="B188" s="3" t="s">
        <v>10</v>
      </c>
      <c r="C188" s="3" t="s">
        <v>11</v>
      </c>
      <c r="D188" s="4">
        <v>273.98</v>
      </c>
    </row>
    <row r="189" spans="1:4" x14ac:dyDescent="0.3">
      <c r="A189" s="2">
        <v>45993</v>
      </c>
      <c r="B189" s="3" t="s">
        <v>6</v>
      </c>
      <c r="C189" s="3" t="s">
        <v>7</v>
      </c>
      <c r="D189" s="4">
        <v>94.68</v>
      </c>
    </row>
    <row r="190" spans="1:4" x14ac:dyDescent="0.3">
      <c r="A190" s="2">
        <v>45995</v>
      </c>
      <c r="B190" s="3" t="s">
        <v>6</v>
      </c>
      <c r="C190" s="3" t="s">
        <v>7</v>
      </c>
      <c r="D190" s="4">
        <v>84.31</v>
      </c>
    </row>
    <row r="191" spans="1:4" x14ac:dyDescent="0.3">
      <c r="A191" s="2">
        <v>45996</v>
      </c>
      <c r="B191" s="3" t="s">
        <v>6</v>
      </c>
      <c r="C191" s="3" t="s">
        <v>7</v>
      </c>
      <c r="D191" s="4">
        <v>100.43</v>
      </c>
    </row>
    <row r="192" spans="1:4" x14ac:dyDescent="0.3">
      <c r="A192" s="2">
        <v>45996</v>
      </c>
      <c r="B192" s="3" t="s">
        <v>12</v>
      </c>
      <c r="C192" s="3" t="s">
        <v>11</v>
      </c>
      <c r="D192" s="4">
        <v>319.69</v>
      </c>
    </row>
    <row r="193" spans="1:4" x14ac:dyDescent="0.3">
      <c r="A193" s="2">
        <v>45996</v>
      </c>
      <c r="B193" s="3" t="s">
        <v>13</v>
      </c>
      <c r="C193" s="3" t="s">
        <v>7</v>
      </c>
      <c r="D193" s="4">
        <v>339.65</v>
      </c>
    </row>
    <row r="194" spans="1:4" x14ac:dyDescent="0.3">
      <c r="A194" s="2">
        <v>45997</v>
      </c>
      <c r="B194" s="3" t="s">
        <v>6</v>
      </c>
      <c r="C194" s="3" t="s">
        <v>7</v>
      </c>
      <c r="D194" s="4">
        <v>114.88</v>
      </c>
    </row>
    <row r="195" spans="1:4" x14ac:dyDescent="0.3">
      <c r="A195" s="2">
        <v>45997</v>
      </c>
      <c r="B195" s="3" t="s">
        <v>14</v>
      </c>
      <c r="C195" s="3" t="s">
        <v>11</v>
      </c>
      <c r="D195" s="4">
        <v>81.680000000000007</v>
      </c>
    </row>
    <row r="196" spans="1:4" x14ac:dyDescent="0.3">
      <c r="A196" s="2">
        <v>45997</v>
      </c>
      <c r="B196" s="3" t="s">
        <v>10</v>
      </c>
      <c r="C196" s="3" t="s">
        <v>11</v>
      </c>
      <c r="D196" s="4">
        <v>596.13</v>
      </c>
    </row>
    <row r="197" spans="1:4" x14ac:dyDescent="0.3">
      <c r="A197" s="2">
        <v>45998</v>
      </c>
      <c r="B197" s="3" t="s">
        <v>8</v>
      </c>
      <c r="C197" s="3" t="s">
        <v>7</v>
      </c>
      <c r="D197" s="4">
        <v>20.58</v>
      </c>
    </row>
    <row r="198" spans="1:4" x14ac:dyDescent="0.3">
      <c r="A198" s="2">
        <v>45999</v>
      </c>
      <c r="B198" s="3" t="s">
        <v>6</v>
      </c>
      <c r="C198" s="3" t="s">
        <v>7</v>
      </c>
      <c r="D198" s="4">
        <v>105.65</v>
      </c>
    </row>
    <row r="199" spans="1:4" x14ac:dyDescent="0.3">
      <c r="A199" s="2">
        <v>45999</v>
      </c>
      <c r="B199" s="3" t="s">
        <v>14</v>
      </c>
      <c r="C199" s="3" t="s">
        <v>11</v>
      </c>
      <c r="D199" s="4">
        <v>160.25</v>
      </c>
    </row>
    <row r="200" spans="1:4" x14ac:dyDescent="0.3">
      <c r="A200" s="2">
        <v>46001</v>
      </c>
      <c r="B200" s="3" t="s">
        <v>6</v>
      </c>
      <c r="C200" s="3" t="s">
        <v>7</v>
      </c>
      <c r="D200" s="4">
        <v>104.7</v>
      </c>
    </row>
    <row r="201" spans="1:4" x14ac:dyDescent="0.3">
      <c r="A201" s="2">
        <v>46001</v>
      </c>
      <c r="B201" s="3" t="s">
        <v>8</v>
      </c>
      <c r="C201" s="3" t="s">
        <v>7</v>
      </c>
      <c r="D201" s="4">
        <v>26.62</v>
      </c>
    </row>
    <row r="202" spans="1:4" x14ac:dyDescent="0.3">
      <c r="A202" s="2">
        <v>46001</v>
      </c>
      <c r="B202" s="3" t="s">
        <v>10</v>
      </c>
      <c r="C202" s="3" t="s">
        <v>11</v>
      </c>
      <c r="D202" s="4">
        <v>369.29</v>
      </c>
    </row>
    <row r="203" spans="1:4" x14ac:dyDescent="0.3">
      <c r="A203" s="2">
        <v>46002</v>
      </c>
      <c r="B203" s="3" t="s">
        <v>6</v>
      </c>
      <c r="C203" s="3" t="s">
        <v>7</v>
      </c>
      <c r="D203" s="4">
        <v>86.79</v>
      </c>
    </row>
    <row r="204" spans="1:4" x14ac:dyDescent="0.3">
      <c r="A204" s="2">
        <v>46002</v>
      </c>
      <c r="B204" s="3" t="s">
        <v>8</v>
      </c>
      <c r="C204" s="3" t="s">
        <v>7</v>
      </c>
      <c r="D204" s="4">
        <v>31.84</v>
      </c>
    </row>
    <row r="205" spans="1:4" x14ac:dyDescent="0.3">
      <c r="A205" s="2">
        <v>46002</v>
      </c>
      <c r="B205" s="3" t="s">
        <v>12</v>
      </c>
      <c r="C205" s="3" t="s">
        <v>11</v>
      </c>
      <c r="D205" s="4">
        <v>379</v>
      </c>
    </row>
    <row r="206" spans="1:4" x14ac:dyDescent="0.3">
      <c r="A206" s="2">
        <v>46003</v>
      </c>
      <c r="B206" s="3" t="s">
        <v>8</v>
      </c>
      <c r="C206" s="3" t="s">
        <v>7</v>
      </c>
      <c r="D206" s="4">
        <v>41.49</v>
      </c>
    </row>
    <row r="207" spans="1:4" x14ac:dyDescent="0.3">
      <c r="A207" s="2">
        <v>46004</v>
      </c>
      <c r="B207" s="3" t="s">
        <v>12</v>
      </c>
      <c r="C207" s="3" t="s">
        <v>11</v>
      </c>
      <c r="D207" s="4">
        <v>300.92</v>
      </c>
    </row>
    <row r="208" spans="1:4" x14ac:dyDescent="0.3">
      <c r="A208" s="2">
        <v>46005</v>
      </c>
      <c r="B208" s="3" t="s">
        <v>8</v>
      </c>
      <c r="C208" s="3" t="s">
        <v>7</v>
      </c>
      <c r="D208" s="4">
        <v>34.200000000000003</v>
      </c>
    </row>
    <row r="209" spans="1:4" x14ac:dyDescent="0.3">
      <c r="A209" s="2">
        <v>46006</v>
      </c>
      <c r="B209" s="3" t="s">
        <v>6</v>
      </c>
      <c r="C209" s="3" t="s">
        <v>7</v>
      </c>
      <c r="D209" s="4">
        <v>81.3</v>
      </c>
    </row>
    <row r="210" spans="1:4" x14ac:dyDescent="0.3">
      <c r="A210" s="2">
        <v>46008</v>
      </c>
      <c r="B210" s="3" t="s">
        <v>8</v>
      </c>
      <c r="C210" s="3" t="s">
        <v>7</v>
      </c>
      <c r="D210" s="4">
        <v>18.95</v>
      </c>
    </row>
    <row r="211" spans="1:4" x14ac:dyDescent="0.3">
      <c r="A211" s="2">
        <v>46009</v>
      </c>
      <c r="B211" s="3" t="s">
        <v>6</v>
      </c>
      <c r="C211" s="3" t="s">
        <v>7</v>
      </c>
      <c r="D211" s="4">
        <v>56.56</v>
      </c>
    </row>
    <row r="212" spans="1:4" x14ac:dyDescent="0.3">
      <c r="A212" s="2">
        <v>46010</v>
      </c>
      <c r="B212" s="3" t="s">
        <v>6</v>
      </c>
      <c r="C212" s="3" t="s">
        <v>7</v>
      </c>
      <c r="D212" s="4">
        <v>103.08</v>
      </c>
    </row>
    <row r="213" spans="1:4" x14ac:dyDescent="0.3">
      <c r="A213" s="2">
        <v>46010</v>
      </c>
      <c r="B213" s="3" t="s">
        <v>8</v>
      </c>
      <c r="C213" s="3" t="s">
        <v>7</v>
      </c>
      <c r="D213" s="4">
        <v>29.16</v>
      </c>
    </row>
    <row r="214" spans="1:4" x14ac:dyDescent="0.3">
      <c r="A214" s="2">
        <v>46010</v>
      </c>
      <c r="B214" s="3" t="s">
        <v>14</v>
      </c>
      <c r="C214" s="3" t="s">
        <v>11</v>
      </c>
      <c r="D214" s="4">
        <v>156.22999999999999</v>
      </c>
    </row>
    <row r="215" spans="1:4" x14ac:dyDescent="0.3">
      <c r="A215" s="2">
        <v>46011</v>
      </c>
      <c r="B215" s="3" t="s">
        <v>6</v>
      </c>
      <c r="C215" s="3" t="s">
        <v>7</v>
      </c>
      <c r="D215" s="4">
        <v>108.06</v>
      </c>
    </row>
    <row r="216" spans="1:4" x14ac:dyDescent="0.3">
      <c r="A216" s="2">
        <v>46011</v>
      </c>
      <c r="B216" s="3" t="s">
        <v>14</v>
      </c>
      <c r="C216" s="3" t="s">
        <v>11</v>
      </c>
      <c r="D216" s="4">
        <v>232.57</v>
      </c>
    </row>
    <row r="217" spans="1:4" x14ac:dyDescent="0.3">
      <c r="A217" s="2">
        <v>46011</v>
      </c>
      <c r="B217" s="3" t="s">
        <v>12</v>
      </c>
      <c r="C217" s="3" t="s">
        <v>11</v>
      </c>
      <c r="D217" s="4">
        <v>284.45999999999998</v>
      </c>
    </row>
    <row r="218" spans="1:4" x14ac:dyDescent="0.3">
      <c r="A218" s="2">
        <v>46012</v>
      </c>
      <c r="B218" s="3" t="s">
        <v>6</v>
      </c>
      <c r="C218" s="3" t="s">
        <v>7</v>
      </c>
      <c r="D218" s="4">
        <v>103.64</v>
      </c>
    </row>
    <row r="219" spans="1:4" x14ac:dyDescent="0.3">
      <c r="A219" s="2">
        <v>46012</v>
      </c>
      <c r="B219" s="3" t="s">
        <v>12</v>
      </c>
      <c r="C219" s="3" t="s">
        <v>11</v>
      </c>
      <c r="D219" s="4">
        <v>276.69</v>
      </c>
    </row>
    <row r="220" spans="1:4" x14ac:dyDescent="0.3">
      <c r="A220" s="2">
        <v>46013</v>
      </c>
      <c r="B220" s="3" t="s">
        <v>8</v>
      </c>
      <c r="C220" s="3" t="s">
        <v>7</v>
      </c>
      <c r="D220" s="4">
        <v>25</v>
      </c>
    </row>
    <row r="221" spans="1:4" x14ac:dyDescent="0.3">
      <c r="A221" s="2">
        <v>46013</v>
      </c>
      <c r="B221" s="3" t="s">
        <v>12</v>
      </c>
      <c r="C221" s="3" t="s">
        <v>11</v>
      </c>
      <c r="D221" s="4">
        <v>253.88</v>
      </c>
    </row>
    <row r="222" spans="1:4" x14ac:dyDescent="0.3">
      <c r="A222" s="2">
        <v>46015</v>
      </c>
      <c r="B222" s="3" t="s">
        <v>6</v>
      </c>
      <c r="C222" s="3" t="s">
        <v>7</v>
      </c>
      <c r="D222" s="4">
        <v>87.73</v>
      </c>
    </row>
    <row r="223" spans="1:4" x14ac:dyDescent="0.3">
      <c r="A223" s="2">
        <v>46015</v>
      </c>
      <c r="B223" s="3" t="s">
        <v>12</v>
      </c>
      <c r="C223" s="3" t="s">
        <v>11</v>
      </c>
      <c r="D223" s="4">
        <v>342.56</v>
      </c>
    </row>
    <row r="224" spans="1:4" x14ac:dyDescent="0.3">
      <c r="A224" s="2">
        <v>46016</v>
      </c>
      <c r="B224" s="3" t="s">
        <v>6</v>
      </c>
      <c r="C224" s="3" t="s">
        <v>7</v>
      </c>
      <c r="D224" s="4">
        <v>103.26</v>
      </c>
    </row>
    <row r="225" spans="1:4" x14ac:dyDescent="0.3">
      <c r="A225" s="2">
        <v>46018</v>
      </c>
      <c r="B225" s="3" t="s">
        <v>6</v>
      </c>
      <c r="C225" s="3" t="s">
        <v>7</v>
      </c>
      <c r="D225" s="4">
        <v>79.39</v>
      </c>
    </row>
    <row r="226" spans="1:4" x14ac:dyDescent="0.3">
      <c r="A226" s="2">
        <v>46018</v>
      </c>
      <c r="B226" s="3" t="s">
        <v>12</v>
      </c>
      <c r="C226" s="3" t="s">
        <v>11</v>
      </c>
      <c r="D226" s="4">
        <v>218.04</v>
      </c>
    </row>
    <row r="227" spans="1:4" x14ac:dyDescent="0.3">
      <c r="A227" s="2">
        <v>46019</v>
      </c>
      <c r="B227" s="3" t="s">
        <v>6</v>
      </c>
      <c r="C227" s="3" t="s">
        <v>7</v>
      </c>
      <c r="D227" s="4">
        <v>85.96</v>
      </c>
    </row>
    <row r="228" spans="1:4" x14ac:dyDescent="0.3">
      <c r="A228" s="2">
        <v>46020</v>
      </c>
      <c r="B228" s="3" t="s">
        <v>8</v>
      </c>
      <c r="C228" s="3" t="s">
        <v>7</v>
      </c>
      <c r="D228" s="4">
        <v>43.55</v>
      </c>
    </row>
    <row r="229" spans="1:4" x14ac:dyDescent="0.3">
      <c r="A229" s="2">
        <v>46020</v>
      </c>
      <c r="B229" s="3" t="s">
        <v>9</v>
      </c>
      <c r="C229" s="3" t="s">
        <v>7</v>
      </c>
      <c r="D229" s="4">
        <v>290.72000000000003</v>
      </c>
    </row>
    <row r="230" spans="1:4" x14ac:dyDescent="0.3">
      <c r="A230" s="2">
        <v>46020</v>
      </c>
      <c r="B230" s="3" t="s">
        <v>10</v>
      </c>
      <c r="C230" s="3" t="s">
        <v>11</v>
      </c>
      <c r="D230" s="4">
        <v>583.25</v>
      </c>
    </row>
    <row r="231" spans="1:4" x14ac:dyDescent="0.3">
      <c r="A231" s="2">
        <v>46022</v>
      </c>
      <c r="B231" s="3" t="s">
        <v>8</v>
      </c>
      <c r="C231" s="3" t="s">
        <v>7</v>
      </c>
      <c r="D231" s="4">
        <v>34.549999999999997</v>
      </c>
    </row>
    <row r="232" spans="1:4" x14ac:dyDescent="0.3">
      <c r="A232" s="2">
        <v>46023</v>
      </c>
      <c r="B232" s="3" t="s">
        <v>4</v>
      </c>
      <c r="C232" s="3" t="s">
        <v>5</v>
      </c>
      <c r="D232" s="4">
        <v>3000</v>
      </c>
    </row>
    <row r="233" spans="1:4" x14ac:dyDescent="0.3">
      <c r="A233" s="2">
        <v>46023</v>
      </c>
      <c r="B233" s="3" t="s">
        <v>8</v>
      </c>
      <c r="C233" s="3" t="s">
        <v>7</v>
      </c>
      <c r="D233" s="4">
        <v>24.46</v>
      </c>
    </row>
    <row r="234" spans="1:4" x14ac:dyDescent="0.3">
      <c r="A234" s="2">
        <v>46023</v>
      </c>
      <c r="B234" s="3" t="s">
        <v>14</v>
      </c>
      <c r="C234" s="3" t="s">
        <v>11</v>
      </c>
      <c r="D234" s="4">
        <v>226.85</v>
      </c>
    </row>
    <row r="235" spans="1:4" x14ac:dyDescent="0.3">
      <c r="A235" s="2">
        <v>46024</v>
      </c>
      <c r="B235" s="3" t="s">
        <v>6</v>
      </c>
      <c r="C235" s="3" t="s">
        <v>7</v>
      </c>
      <c r="D235" s="4">
        <v>104.92</v>
      </c>
    </row>
    <row r="236" spans="1:4" x14ac:dyDescent="0.3">
      <c r="A236" s="2">
        <v>46024</v>
      </c>
      <c r="B236" s="3" t="s">
        <v>9</v>
      </c>
      <c r="C236" s="3" t="s">
        <v>7</v>
      </c>
      <c r="D236" s="4">
        <v>286.57</v>
      </c>
    </row>
    <row r="237" spans="1:4" x14ac:dyDescent="0.3">
      <c r="A237" s="2">
        <v>46025</v>
      </c>
      <c r="B237" s="3" t="s">
        <v>6</v>
      </c>
      <c r="C237" s="3" t="s">
        <v>7</v>
      </c>
      <c r="D237" s="4">
        <v>56.48</v>
      </c>
    </row>
    <row r="238" spans="1:4" x14ac:dyDescent="0.3">
      <c r="A238" s="2">
        <v>46025</v>
      </c>
      <c r="B238" s="3" t="s">
        <v>14</v>
      </c>
      <c r="C238" s="3" t="s">
        <v>11</v>
      </c>
      <c r="D238" s="4">
        <v>140.72999999999999</v>
      </c>
    </row>
    <row r="239" spans="1:4" x14ac:dyDescent="0.3">
      <c r="A239" s="2">
        <v>46026</v>
      </c>
      <c r="B239" s="3" t="s">
        <v>6</v>
      </c>
      <c r="C239" s="3" t="s">
        <v>7</v>
      </c>
      <c r="D239" s="4">
        <v>99.48</v>
      </c>
    </row>
    <row r="240" spans="1:4" x14ac:dyDescent="0.3">
      <c r="A240" s="2">
        <v>46026</v>
      </c>
      <c r="B240" s="3" t="s">
        <v>8</v>
      </c>
      <c r="C240" s="3" t="s">
        <v>7</v>
      </c>
      <c r="D240" s="4">
        <v>30.5</v>
      </c>
    </row>
    <row r="241" spans="1:4" x14ac:dyDescent="0.3">
      <c r="A241" s="2">
        <v>46026</v>
      </c>
      <c r="B241" s="3" t="s">
        <v>14</v>
      </c>
      <c r="C241" s="3" t="s">
        <v>11</v>
      </c>
      <c r="D241" s="4">
        <v>147.87</v>
      </c>
    </row>
    <row r="242" spans="1:4" x14ac:dyDescent="0.3">
      <c r="A242" s="2">
        <v>46026</v>
      </c>
      <c r="B242" s="3" t="s">
        <v>10</v>
      </c>
      <c r="C242" s="3" t="s">
        <v>11</v>
      </c>
      <c r="D242" s="4">
        <v>285.26</v>
      </c>
    </row>
    <row r="243" spans="1:4" x14ac:dyDescent="0.3">
      <c r="A243" s="2">
        <v>46027</v>
      </c>
      <c r="B243" s="3" t="s">
        <v>6</v>
      </c>
      <c r="C243" s="3" t="s">
        <v>7</v>
      </c>
      <c r="D243" s="4">
        <v>113.37</v>
      </c>
    </row>
    <row r="244" spans="1:4" x14ac:dyDescent="0.3">
      <c r="A244" s="2">
        <v>46027</v>
      </c>
      <c r="B244" s="3" t="s">
        <v>14</v>
      </c>
      <c r="C244" s="3" t="s">
        <v>11</v>
      </c>
      <c r="D244" s="4">
        <v>187.14</v>
      </c>
    </row>
    <row r="245" spans="1:4" x14ac:dyDescent="0.3">
      <c r="A245" s="2">
        <v>46027</v>
      </c>
      <c r="B245" s="3" t="s">
        <v>13</v>
      </c>
      <c r="C245" s="3" t="s">
        <v>7</v>
      </c>
      <c r="D245" s="4">
        <v>279.63</v>
      </c>
    </row>
    <row r="246" spans="1:4" x14ac:dyDescent="0.3">
      <c r="A246" s="2">
        <v>46028</v>
      </c>
      <c r="B246" s="3" t="s">
        <v>6</v>
      </c>
      <c r="C246" s="3" t="s">
        <v>7</v>
      </c>
      <c r="D246" s="4">
        <v>58.14</v>
      </c>
    </row>
    <row r="247" spans="1:4" x14ac:dyDescent="0.3">
      <c r="A247" s="2">
        <v>46029</v>
      </c>
      <c r="B247" s="3" t="s">
        <v>6</v>
      </c>
      <c r="C247" s="3" t="s">
        <v>7</v>
      </c>
      <c r="D247" s="4">
        <v>102.45</v>
      </c>
    </row>
    <row r="248" spans="1:4" x14ac:dyDescent="0.3">
      <c r="A248" s="2">
        <v>46029</v>
      </c>
      <c r="B248" s="3" t="s">
        <v>8</v>
      </c>
      <c r="C248" s="3" t="s">
        <v>7</v>
      </c>
      <c r="D248" s="4">
        <v>20.86</v>
      </c>
    </row>
    <row r="249" spans="1:4" x14ac:dyDescent="0.3">
      <c r="A249" s="2">
        <v>46029</v>
      </c>
      <c r="B249" s="3" t="s">
        <v>12</v>
      </c>
      <c r="C249" s="3" t="s">
        <v>11</v>
      </c>
      <c r="D249" s="4">
        <v>406.06</v>
      </c>
    </row>
    <row r="250" spans="1:4" x14ac:dyDescent="0.3">
      <c r="A250" s="2">
        <v>46029</v>
      </c>
      <c r="B250" s="3" t="s">
        <v>9</v>
      </c>
      <c r="C250" s="3" t="s">
        <v>7</v>
      </c>
      <c r="D250" s="4">
        <v>103.99</v>
      </c>
    </row>
    <row r="251" spans="1:4" x14ac:dyDescent="0.3">
      <c r="A251" s="2">
        <v>46030</v>
      </c>
      <c r="B251" s="3" t="s">
        <v>6</v>
      </c>
      <c r="C251" s="3" t="s">
        <v>7</v>
      </c>
      <c r="D251" s="4">
        <v>59.84</v>
      </c>
    </row>
    <row r="252" spans="1:4" x14ac:dyDescent="0.3">
      <c r="A252" s="2">
        <v>46030</v>
      </c>
      <c r="B252" s="3" t="s">
        <v>14</v>
      </c>
      <c r="C252" s="3" t="s">
        <v>11</v>
      </c>
      <c r="D252" s="4">
        <v>221.68</v>
      </c>
    </row>
    <row r="253" spans="1:4" x14ac:dyDescent="0.3">
      <c r="A253" s="2">
        <v>46030</v>
      </c>
      <c r="B253" s="3" t="s">
        <v>12</v>
      </c>
      <c r="C253" s="3" t="s">
        <v>11</v>
      </c>
      <c r="D253" s="4">
        <v>152</v>
      </c>
    </row>
    <row r="254" spans="1:4" x14ac:dyDescent="0.3">
      <c r="A254" s="2">
        <v>46031</v>
      </c>
      <c r="B254" s="3" t="s">
        <v>8</v>
      </c>
      <c r="C254" s="3" t="s">
        <v>7</v>
      </c>
      <c r="D254" s="4">
        <v>17.16</v>
      </c>
    </row>
    <row r="255" spans="1:4" x14ac:dyDescent="0.3">
      <c r="A255" s="2">
        <v>46031</v>
      </c>
      <c r="B255" s="3" t="s">
        <v>12</v>
      </c>
      <c r="C255" s="3" t="s">
        <v>11</v>
      </c>
      <c r="D255" s="4">
        <v>229.51</v>
      </c>
    </row>
    <row r="256" spans="1:4" x14ac:dyDescent="0.3">
      <c r="A256" s="2">
        <v>46031</v>
      </c>
      <c r="B256" s="3" t="s">
        <v>9</v>
      </c>
      <c r="C256" s="3" t="s">
        <v>7</v>
      </c>
      <c r="D256" s="4">
        <v>63.1</v>
      </c>
    </row>
    <row r="257" spans="1:4" x14ac:dyDescent="0.3">
      <c r="A257" s="2">
        <v>46032</v>
      </c>
      <c r="B257" s="3" t="s">
        <v>6</v>
      </c>
      <c r="C257" s="3" t="s">
        <v>7</v>
      </c>
      <c r="D257" s="4">
        <v>99.71</v>
      </c>
    </row>
    <row r="258" spans="1:4" x14ac:dyDescent="0.3">
      <c r="A258" s="2">
        <v>46032</v>
      </c>
      <c r="B258" s="3" t="s">
        <v>8</v>
      </c>
      <c r="C258" s="3" t="s">
        <v>7</v>
      </c>
      <c r="D258" s="4">
        <v>42.6</v>
      </c>
    </row>
    <row r="259" spans="1:4" x14ac:dyDescent="0.3">
      <c r="A259" s="2">
        <v>46032</v>
      </c>
      <c r="B259" s="3" t="s">
        <v>12</v>
      </c>
      <c r="C259" s="3" t="s">
        <v>11</v>
      </c>
      <c r="D259" s="4">
        <v>301.54000000000002</v>
      </c>
    </row>
    <row r="260" spans="1:4" x14ac:dyDescent="0.3">
      <c r="A260" s="2">
        <v>46032</v>
      </c>
      <c r="B260" s="3" t="s">
        <v>10</v>
      </c>
      <c r="C260" s="3" t="s">
        <v>11</v>
      </c>
      <c r="D260" s="4">
        <v>491.61</v>
      </c>
    </row>
    <row r="261" spans="1:4" x14ac:dyDescent="0.3">
      <c r="A261" s="2">
        <v>46033</v>
      </c>
      <c r="B261" s="3" t="s">
        <v>8</v>
      </c>
      <c r="C261" s="3" t="s">
        <v>7</v>
      </c>
      <c r="D261" s="4">
        <v>31.93</v>
      </c>
    </row>
    <row r="262" spans="1:4" x14ac:dyDescent="0.3">
      <c r="A262" s="2">
        <v>46033</v>
      </c>
      <c r="B262" s="3" t="s">
        <v>12</v>
      </c>
      <c r="C262" s="3" t="s">
        <v>11</v>
      </c>
      <c r="D262" s="4">
        <v>291.58999999999997</v>
      </c>
    </row>
    <row r="263" spans="1:4" x14ac:dyDescent="0.3">
      <c r="A263" s="2">
        <v>46034</v>
      </c>
      <c r="B263" s="3" t="s">
        <v>6</v>
      </c>
      <c r="C263" s="3" t="s">
        <v>7</v>
      </c>
      <c r="D263" s="4">
        <v>110.65</v>
      </c>
    </row>
    <row r="264" spans="1:4" x14ac:dyDescent="0.3">
      <c r="A264" s="2">
        <v>46034</v>
      </c>
      <c r="B264" s="3" t="s">
        <v>8</v>
      </c>
      <c r="C264" s="3" t="s">
        <v>7</v>
      </c>
      <c r="D264" s="4">
        <v>19.36</v>
      </c>
    </row>
    <row r="265" spans="1:4" x14ac:dyDescent="0.3">
      <c r="A265" s="2">
        <v>46034</v>
      </c>
      <c r="B265" s="3" t="s">
        <v>12</v>
      </c>
      <c r="C265" s="3" t="s">
        <v>11</v>
      </c>
      <c r="D265" s="4">
        <v>210.01</v>
      </c>
    </row>
    <row r="266" spans="1:4" x14ac:dyDescent="0.3">
      <c r="A266" s="2">
        <v>46035</v>
      </c>
      <c r="B266" s="3" t="s">
        <v>6</v>
      </c>
      <c r="C266" s="3" t="s">
        <v>7</v>
      </c>
      <c r="D266" s="4">
        <v>116.31</v>
      </c>
    </row>
    <row r="267" spans="1:4" x14ac:dyDescent="0.3">
      <c r="A267" s="2">
        <v>46035</v>
      </c>
      <c r="B267" s="3" t="s">
        <v>8</v>
      </c>
      <c r="C267" s="3" t="s">
        <v>7</v>
      </c>
      <c r="D267" s="4">
        <v>31.79</v>
      </c>
    </row>
    <row r="268" spans="1:4" x14ac:dyDescent="0.3">
      <c r="A268" s="2">
        <v>46035</v>
      </c>
      <c r="B268" s="3" t="s">
        <v>12</v>
      </c>
      <c r="C268" s="3" t="s">
        <v>11</v>
      </c>
      <c r="D268" s="4">
        <v>380.71</v>
      </c>
    </row>
    <row r="269" spans="1:4" x14ac:dyDescent="0.3">
      <c r="A269" s="2">
        <v>46036</v>
      </c>
      <c r="B269" s="3" t="s">
        <v>14</v>
      </c>
      <c r="C269" s="3" t="s">
        <v>11</v>
      </c>
      <c r="D269" s="4">
        <v>140.31</v>
      </c>
    </row>
    <row r="270" spans="1:4" x14ac:dyDescent="0.3">
      <c r="A270" s="2">
        <v>46036</v>
      </c>
      <c r="B270" s="3" t="s">
        <v>12</v>
      </c>
      <c r="C270" s="3" t="s">
        <v>11</v>
      </c>
      <c r="D270" s="4">
        <v>235.57</v>
      </c>
    </row>
    <row r="271" spans="1:4" x14ac:dyDescent="0.3">
      <c r="A271" s="2">
        <v>46037</v>
      </c>
      <c r="B271" s="3" t="s">
        <v>6</v>
      </c>
      <c r="C271" s="3" t="s">
        <v>7</v>
      </c>
      <c r="D271" s="4">
        <v>78.45</v>
      </c>
    </row>
    <row r="272" spans="1:4" x14ac:dyDescent="0.3">
      <c r="A272" s="2">
        <v>46037</v>
      </c>
      <c r="B272" s="3" t="s">
        <v>12</v>
      </c>
      <c r="C272" s="3" t="s">
        <v>11</v>
      </c>
      <c r="D272" s="4">
        <v>469.19</v>
      </c>
    </row>
    <row r="273" spans="1:4" x14ac:dyDescent="0.3">
      <c r="A273" s="2">
        <v>46037</v>
      </c>
      <c r="B273" s="3" t="s">
        <v>9</v>
      </c>
      <c r="C273" s="3" t="s">
        <v>7</v>
      </c>
      <c r="D273" s="4">
        <v>257.94</v>
      </c>
    </row>
    <row r="274" spans="1:4" x14ac:dyDescent="0.3">
      <c r="A274" s="2">
        <v>46037</v>
      </c>
      <c r="B274" s="3" t="s">
        <v>10</v>
      </c>
      <c r="C274" s="3" t="s">
        <v>11</v>
      </c>
      <c r="D274" s="4">
        <v>148.28</v>
      </c>
    </row>
    <row r="275" spans="1:4" x14ac:dyDescent="0.3">
      <c r="A275" s="2">
        <v>46039</v>
      </c>
      <c r="B275" s="3" t="s">
        <v>6</v>
      </c>
      <c r="C275" s="3" t="s">
        <v>7</v>
      </c>
      <c r="D275" s="4">
        <v>73.569999999999993</v>
      </c>
    </row>
    <row r="276" spans="1:4" x14ac:dyDescent="0.3">
      <c r="A276" s="2">
        <v>46040</v>
      </c>
      <c r="B276" s="3" t="s">
        <v>8</v>
      </c>
      <c r="C276" s="3" t="s">
        <v>7</v>
      </c>
      <c r="D276" s="4">
        <v>35.93</v>
      </c>
    </row>
    <row r="277" spans="1:4" x14ac:dyDescent="0.3">
      <c r="A277" s="2">
        <v>46040</v>
      </c>
      <c r="B277" s="3" t="s">
        <v>14</v>
      </c>
      <c r="C277" s="3" t="s">
        <v>11</v>
      </c>
      <c r="D277" s="4">
        <v>181.35</v>
      </c>
    </row>
    <row r="278" spans="1:4" x14ac:dyDescent="0.3">
      <c r="A278" s="2">
        <v>46040</v>
      </c>
      <c r="B278" s="3" t="s">
        <v>12</v>
      </c>
      <c r="C278" s="3" t="s">
        <v>11</v>
      </c>
      <c r="D278" s="4">
        <v>143.29</v>
      </c>
    </row>
    <row r="279" spans="1:4" x14ac:dyDescent="0.3">
      <c r="A279" s="2">
        <v>46042</v>
      </c>
      <c r="B279" s="3" t="s">
        <v>14</v>
      </c>
      <c r="C279" s="3" t="s">
        <v>11</v>
      </c>
      <c r="D279" s="4">
        <v>235.82</v>
      </c>
    </row>
    <row r="280" spans="1:4" x14ac:dyDescent="0.3">
      <c r="A280" s="2">
        <v>46043</v>
      </c>
      <c r="B280" s="3" t="s">
        <v>8</v>
      </c>
      <c r="C280" s="3" t="s">
        <v>7</v>
      </c>
      <c r="D280" s="4">
        <v>27.99</v>
      </c>
    </row>
    <row r="281" spans="1:4" x14ac:dyDescent="0.3">
      <c r="A281" s="2">
        <v>46043</v>
      </c>
      <c r="B281" s="3" t="s">
        <v>14</v>
      </c>
      <c r="C281" s="3" t="s">
        <v>11</v>
      </c>
      <c r="D281" s="4">
        <v>223.97</v>
      </c>
    </row>
    <row r="282" spans="1:4" x14ac:dyDescent="0.3">
      <c r="A282" s="2">
        <v>46043</v>
      </c>
      <c r="B282" s="3" t="s">
        <v>10</v>
      </c>
      <c r="C282" s="3" t="s">
        <v>11</v>
      </c>
      <c r="D282" s="4">
        <v>416.59</v>
      </c>
    </row>
    <row r="283" spans="1:4" x14ac:dyDescent="0.3">
      <c r="A283" s="2">
        <v>46044</v>
      </c>
      <c r="B283" s="3" t="s">
        <v>6</v>
      </c>
      <c r="C283" s="3" t="s">
        <v>7</v>
      </c>
      <c r="D283" s="4">
        <v>99.74</v>
      </c>
    </row>
    <row r="284" spans="1:4" x14ac:dyDescent="0.3">
      <c r="A284" s="2">
        <v>46044</v>
      </c>
      <c r="B284" s="3" t="s">
        <v>8</v>
      </c>
      <c r="C284" s="3" t="s">
        <v>7</v>
      </c>
      <c r="D284" s="4">
        <v>30.66</v>
      </c>
    </row>
    <row r="285" spans="1:4" x14ac:dyDescent="0.3">
      <c r="A285" s="2">
        <v>46045</v>
      </c>
      <c r="B285" s="3" t="s">
        <v>8</v>
      </c>
      <c r="C285" s="3" t="s">
        <v>7</v>
      </c>
      <c r="D285" s="4">
        <v>18.420000000000002</v>
      </c>
    </row>
    <row r="286" spans="1:4" x14ac:dyDescent="0.3">
      <c r="A286" s="2">
        <v>46045</v>
      </c>
      <c r="B286" s="3" t="s">
        <v>14</v>
      </c>
      <c r="C286" s="3" t="s">
        <v>11</v>
      </c>
      <c r="D286" s="4">
        <v>173.57</v>
      </c>
    </row>
    <row r="287" spans="1:4" x14ac:dyDescent="0.3">
      <c r="A287" s="2">
        <v>46046</v>
      </c>
      <c r="B287" s="3" t="s">
        <v>6</v>
      </c>
      <c r="C287" s="3" t="s">
        <v>7</v>
      </c>
      <c r="D287" s="4">
        <v>79.47</v>
      </c>
    </row>
    <row r="288" spans="1:4" x14ac:dyDescent="0.3">
      <c r="A288" s="2">
        <v>46046</v>
      </c>
      <c r="B288" s="3" t="s">
        <v>8</v>
      </c>
      <c r="C288" s="3" t="s">
        <v>7</v>
      </c>
      <c r="D288" s="4">
        <v>41.83</v>
      </c>
    </row>
    <row r="289" spans="1:4" x14ac:dyDescent="0.3">
      <c r="A289" s="2">
        <v>46046</v>
      </c>
      <c r="B289" s="3" t="s">
        <v>14</v>
      </c>
      <c r="C289" s="3" t="s">
        <v>11</v>
      </c>
      <c r="D289" s="4">
        <v>135.97999999999999</v>
      </c>
    </row>
    <row r="290" spans="1:4" x14ac:dyDescent="0.3">
      <c r="A290" s="2">
        <v>46047</v>
      </c>
      <c r="B290" s="3" t="s">
        <v>8</v>
      </c>
      <c r="C290" s="3" t="s">
        <v>7</v>
      </c>
      <c r="D290" s="4">
        <v>29.84</v>
      </c>
    </row>
    <row r="291" spans="1:4" x14ac:dyDescent="0.3">
      <c r="A291" s="2">
        <v>46047</v>
      </c>
      <c r="B291" s="3" t="s">
        <v>12</v>
      </c>
      <c r="C291" s="3" t="s">
        <v>11</v>
      </c>
      <c r="D291" s="4">
        <v>220.57</v>
      </c>
    </row>
    <row r="292" spans="1:4" x14ac:dyDescent="0.3">
      <c r="A292" s="2">
        <v>46047</v>
      </c>
      <c r="B292" s="3" t="s">
        <v>9</v>
      </c>
      <c r="C292" s="3" t="s">
        <v>7</v>
      </c>
      <c r="D292" s="4">
        <v>84.31</v>
      </c>
    </row>
    <row r="293" spans="1:4" x14ac:dyDescent="0.3">
      <c r="A293" s="2">
        <v>46048</v>
      </c>
      <c r="B293" s="3" t="s">
        <v>6</v>
      </c>
      <c r="C293" s="3" t="s">
        <v>7</v>
      </c>
      <c r="D293" s="4">
        <v>50.52</v>
      </c>
    </row>
    <row r="294" spans="1:4" x14ac:dyDescent="0.3">
      <c r="A294" s="2">
        <v>46048</v>
      </c>
      <c r="B294" s="3" t="s">
        <v>14</v>
      </c>
      <c r="C294" s="3" t="s">
        <v>11</v>
      </c>
      <c r="D294" s="4">
        <v>126.04</v>
      </c>
    </row>
    <row r="295" spans="1:4" x14ac:dyDescent="0.3">
      <c r="A295" s="2">
        <v>46049</v>
      </c>
      <c r="B295" s="3" t="s">
        <v>8</v>
      </c>
      <c r="C295" s="3" t="s">
        <v>7</v>
      </c>
      <c r="D295" s="4">
        <v>45.39</v>
      </c>
    </row>
    <row r="296" spans="1:4" x14ac:dyDescent="0.3">
      <c r="A296" s="2">
        <v>46049</v>
      </c>
      <c r="B296" s="3" t="s">
        <v>14</v>
      </c>
      <c r="C296" s="3" t="s">
        <v>11</v>
      </c>
      <c r="D296" s="4">
        <v>53.75</v>
      </c>
    </row>
    <row r="297" spans="1:4" x14ac:dyDescent="0.3">
      <c r="A297" s="2">
        <v>46050</v>
      </c>
      <c r="B297" s="3" t="s">
        <v>12</v>
      </c>
      <c r="C297" s="3" t="s">
        <v>11</v>
      </c>
      <c r="D297" s="4">
        <v>108.34</v>
      </c>
    </row>
    <row r="298" spans="1:4" x14ac:dyDescent="0.3">
      <c r="A298" s="2">
        <v>46051</v>
      </c>
      <c r="B298" s="3" t="s">
        <v>12</v>
      </c>
      <c r="C298" s="3" t="s">
        <v>11</v>
      </c>
      <c r="D298" s="4">
        <v>437.79</v>
      </c>
    </row>
    <row r="299" spans="1:4" x14ac:dyDescent="0.3">
      <c r="A299" s="2">
        <v>46051</v>
      </c>
      <c r="B299" s="3" t="s">
        <v>9</v>
      </c>
      <c r="C299" s="3" t="s">
        <v>7</v>
      </c>
      <c r="D299" s="4">
        <v>197.22</v>
      </c>
    </row>
    <row r="300" spans="1:4" x14ac:dyDescent="0.3">
      <c r="A300" s="2">
        <v>46052</v>
      </c>
      <c r="B300" s="3" t="s">
        <v>6</v>
      </c>
      <c r="C300" s="3" t="s">
        <v>7</v>
      </c>
      <c r="D300" s="4">
        <v>70.680000000000007</v>
      </c>
    </row>
    <row r="301" spans="1:4" x14ac:dyDescent="0.3">
      <c r="A301" s="2">
        <v>46052</v>
      </c>
      <c r="B301" s="3" t="s">
        <v>8</v>
      </c>
      <c r="C301" s="3" t="s">
        <v>7</v>
      </c>
      <c r="D301" s="4">
        <v>27.77</v>
      </c>
    </row>
    <row r="302" spans="1:4" x14ac:dyDescent="0.3">
      <c r="A302" s="2">
        <v>46052</v>
      </c>
      <c r="B302" s="3" t="s">
        <v>14</v>
      </c>
      <c r="C302" s="3" t="s">
        <v>11</v>
      </c>
      <c r="D302" s="4">
        <v>152.1</v>
      </c>
    </row>
    <row r="303" spans="1:4" x14ac:dyDescent="0.3">
      <c r="A303" s="2">
        <v>46052</v>
      </c>
      <c r="B303" s="3" t="s">
        <v>12</v>
      </c>
      <c r="C303" s="3" t="s">
        <v>11</v>
      </c>
      <c r="D303" s="4">
        <v>303.98</v>
      </c>
    </row>
    <row r="304" spans="1:4" x14ac:dyDescent="0.3">
      <c r="A304" s="2">
        <v>46053</v>
      </c>
      <c r="B304" s="3" t="s">
        <v>12</v>
      </c>
      <c r="C304" s="3" t="s">
        <v>11</v>
      </c>
      <c r="D304" s="4">
        <v>158.58000000000001</v>
      </c>
    </row>
    <row r="305" spans="1:4" x14ac:dyDescent="0.3">
      <c r="A305" s="2">
        <v>46053</v>
      </c>
      <c r="B305" s="3" t="s">
        <v>9</v>
      </c>
      <c r="C305" s="3" t="s">
        <v>7</v>
      </c>
      <c r="D305" s="4">
        <v>200.6</v>
      </c>
    </row>
    <row r="306" spans="1:4" x14ac:dyDescent="0.3">
      <c r="A306" s="2">
        <v>46054</v>
      </c>
      <c r="B306" s="3" t="s">
        <v>4</v>
      </c>
      <c r="C306" s="3" t="s">
        <v>5</v>
      </c>
      <c r="D306" s="4">
        <v>3000</v>
      </c>
    </row>
    <row r="307" spans="1:4" x14ac:dyDescent="0.3">
      <c r="A307" s="2">
        <v>46054</v>
      </c>
      <c r="B307" s="3" t="s">
        <v>6</v>
      </c>
      <c r="C307" s="3" t="s">
        <v>7</v>
      </c>
      <c r="D307" s="4">
        <v>101.52</v>
      </c>
    </row>
    <row r="308" spans="1:4" x14ac:dyDescent="0.3">
      <c r="A308" s="2">
        <v>46054</v>
      </c>
      <c r="B308" s="3" t="s">
        <v>8</v>
      </c>
      <c r="C308" s="3" t="s">
        <v>7</v>
      </c>
      <c r="D308" s="4">
        <v>41.81</v>
      </c>
    </row>
    <row r="309" spans="1:4" x14ac:dyDescent="0.3">
      <c r="A309" s="2">
        <v>46055</v>
      </c>
      <c r="B309" s="3" t="s">
        <v>9</v>
      </c>
      <c r="C309" s="3" t="s">
        <v>7</v>
      </c>
      <c r="D309" s="4">
        <v>67.069999999999993</v>
      </c>
    </row>
    <row r="310" spans="1:4" x14ac:dyDescent="0.3">
      <c r="A310" s="2">
        <v>46056</v>
      </c>
      <c r="B310" s="3" t="s">
        <v>6</v>
      </c>
      <c r="C310" s="3" t="s">
        <v>7</v>
      </c>
      <c r="D310" s="4">
        <v>68.31</v>
      </c>
    </row>
    <row r="311" spans="1:4" x14ac:dyDescent="0.3">
      <c r="A311" s="2">
        <v>46056</v>
      </c>
      <c r="B311" s="3" t="s">
        <v>8</v>
      </c>
      <c r="C311" s="3" t="s">
        <v>7</v>
      </c>
      <c r="D311" s="4">
        <v>33.58</v>
      </c>
    </row>
    <row r="312" spans="1:4" x14ac:dyDescent="0.3">
      <c r="A312" s="2">
        <v>46056</v>
      </c>
      <c r="B312" s="3" t="s">
        <v>9</v>
      </c>
      <c r="C312" s="3" t="s">
        <v>7</v>
      </c>
      <c r="D312" s="4">
        <v>257.92</v>
      </c>
    </row>
    <row r="313" spans="1:4" x14ac:dyDescent="0.3">
      <c r="A313" s="2">
        <v>46056</v>
      </c>
      <c r="B313" s="3" t="s">
        <v>10</v>
      </c>
      <c r="C313" s="3" t="s">
        <v>11</v>
      </c>
      <c r="D313" s="4">
        <v>532.13</v>
      </c>
    </row>
    <row r="314" spans="1:4" x14ac:dyDescent="0.3">
      <c r="A314" s="2">
        <v>46058</v>
      </c>
      <c r="B314" s="3" t="s">
        <v>8</v>
      </c>
      <c r="C314" s="3" t="s">
        <v>7</v>
      </c>
      <c r="D314" s="4">
        <v>43.66</v>
      </c>
    </row>
    <row r="315" spans="1:4" x14ac:dyDescent="0.3">
      <c r="A315" s="2">
        <v>46058</v>
      </c>
      <c r="B315" s="3" t="s">
        <v>13</v>
      </c>
      <c r="C315" s="3" t="s">
        <v>7</v>
      </c>
      <c r="D315" s="4">
        <v>212.37</v>
      </c>
    </row>
    <row r="316" spans="1:4" x14ac:dyDescent="0.3">
      <c r="A316" s="2">
        <v>46059</v>
      </c>
      <c r="B316" s="3" t="s">
        <v>6</v>
      </c>
      <c r="C316" s="3" t="s">
        <v>7</v>
      </c>
      <c r="D316" s="4">
        <v>109.94</v>
      </c>
    </row>
    <row r="317" spans="1:4" x14ac:dyDescent="0.3">
      <c r="A317" s="2">
        <v>46059</v>
      </c>
      <c r="B317" s="3" t="s">
        <v>8</v>
      </c>
      <c r="C317" s="3" t="s">
        <v>7</v>
      </c>
      <c r="D317" s="4">
        <v>40.479999999999997</v>
      </c>
    </row>
    <row r="318" spans="1:4" x14ac:dyDescent="0.3">
      <c r="A318" s="2">
        <v>46059</v>
      </c>
      <c r="B318" s="3" t="s">
        <v>12</v>
      </c>
      <c r="C318" s="3" t="s">
        <v>11</v>
      </c>
      <c r="D318" s="4">
        <v>199.1</v>
      </c>
    </row>
    <row r="319" spans="1:4" x14ac:dyDescent="0.3">
      <c r="A319" s="2">
        <v>46060</v>
      </c>
      <c r="B319" s="3" t="s">
        <v>6</v>
      </c>
      <c r="C319" s="3" t="s">
        <v>7</v>
      </c>
      <c r="D319" s="4">
        <v>60.58</v>
      </c>
    </row>
    <row r="320" spans="1:4" x14ac:dyDescent="0.3">
      <c r="A320" s="2">
        <v>46060</v>
      </c>
      <c r="B320" s="3" t="s">
        <v>8</v>
      </c>
      <c r="C320" s="3" t="s">
        <v>7</v>
      </c>
      <c r="D320" s="4">
        <v>26.1</v>
      </c>
    </row>
    <row r="321" spans="1:4" x14ac:dyDescent="0.3">
      <c r="A321" s="2">
        <v>46061</v>
      </c>
      <c r="B321" s="3" t="s">
        <v>8</v>
      </c>
      <c r="C321" s="3" t="s">
        <v>7</v>
      </c>
      <c r="D321" s="4">
        <v>19.82</v>
      </c>
    </row>
    <row r="322" spans="1:4" x14ac:dyDescent="0.3">
      <c r="A322" s="2">
        <v>46062</v>
      </c>
      <c r="B322" s="3" t="s">
        <v>9</v>
      </c>
      <c r="C322" s="3" t="s">
        <v>7</v>
      </c>
      <c r="D322" s="4">
        <v>137.46</v>
      </c>
    </row>
    <row r="323" spans="1:4" x14ac:dyDescent="0.3">
      <c r="A323" s="2">
        <v>46063</v>
      </c>
      <c r="B323" s="3" t="s">
        <v>8</v>
      </c>
      <c r="C323" s="3" t="s">
        <v>7</v>
      </c>
      <c r="D323" s="4">
        <v>36.5</v>
      </c>
    </row>
    <row r="324" spans="1:4" x14ac:dyDescent="0.3">
      <c r="A324" s="2">
        <v>46065</v>
      </c>
      <c r="B324" s="3" t="s">
        <v>8</v>
      </c>
      <c r="C324" s="3" t="s">
        <v>7</v>
      </c>
      <c r="D324" s="4">
        <v>28.73</v>
      </c>
    </row>
    <row r="325" spans="1:4" x14ac:dyDescent="0.3">
      <c r="A325" s="2">
        <v>46065</v>
      </c>
      <c r="B325" s="3" t="s">
        <v>12</v>
      </c>
      <c r="C325" s="3" t="s">
        <v>11</v>
      </c>
      <c r="D325" s="4">
        <v>185.68</v>
      </c>
    </row>
    <row r="326" spans="1:4" x14ac:dyDescent="0.3">
      <c r="A326" s="2">
        <v>46066</v>
      </c>
      <c r="B326" s="3" t="s">
        <v>6</v>
      </c>
      <c r="C326" s="3" t="s">
        <v>7</v>
      </c>
      <c r="D326" s="4">
        <v>59.17</v>
      </c>
    </row>
    <row r="327" spans="1:4" x14ac:dyDescent="0.3">
      <c r="A327" s="2">
        <v>46066</v>
      </c>
      <c r="B327" s="3" t="s">
        <v>8</v>
      </c>
      <c r="C327" s="3" t="s">
        <v>7</v>
      </c>
      <c r="D327" s="4">
        <v>44.81</v>
      </c>
    </row>
    <row r="328" spans="1:4" x14ac:dyDescent="0.3">
      <c r="A328" s="2">
        <v>46066</v>
      </c>
      <c r="B328" s="3" t="s">
        <v>14</v>
      </c>
      <c r="C328" s="3" t="s">
        <v>11</v>
      </c>
      <c r="D328" s="4">
        <v>204.17</v>
      </c>
    </row>
    <row r="329" spans="1:4" x14ac:dyDescent="0.3">
      <c r="A329" s="2">
        <v>46066</v>
      </c>
      <c r="B329" s="3" t="s">
        <v>10</v>
      </c>
      <c r="C329" s="3" t="s">
        <v>11</v>
      </c>
      <c r="D329" s="4">
        <v>268.38</v>
      </c>
    </row>
    <row r="330" spans="1:4" x14ac:dyDescent="0.3">
      <c r="A330" s="2">
        <v>46067</v>
      </c>
      <c r="B330" s="3" t="s">
        <v>8</v>
      </c>
      <c r="C330" s="3" t="s">
        <v>7</v>
      </c>
      <c r="D330" s="4">
        <v>29.22</v>
      </c>
    </row>
    <row r="331" spans="1:4" x14ac:dyDescent="0.3">
      <c r="A331" s="2">
        <v>46067</v>
      </c>
      <c r="B331" s="3" t="s">
        <v>14</v>
      </c>
      <c r="C331" s="3" t="s">
        <v>11</v>
      </c>
      <c r="D331" s="4">
        <v>216.27</v>
      </c>
    </row>
    <row r="332" spans="1:4" x14ac:dyDescent="0.3">
      <c r="A332" s="2">
        <v>46068</v>
      </c>
      <c r="B332" s="3" t="s">
        <v>6</v>
      </c>
      <c r="C332" s="3" t="s">
        <v>7</v>
      </c>
      <c r="D332" s="4">
        <v>77.39</v>
      </c>
    </row>
    <row r="333" spans="1:4" x14ac:dyDescent="0.3">
      <c r="A333" s="2">
        <v>46068</v>
      </c>
      <c r="B333" s="3" t="s">
        <v>14</v>
      </c>
      <c r="C333" s="3" t="s">
        <v>11</v>
      </c>
      <c r="D333" s="4">
        <v>138.84</v>
      </c>
    </row>
    <row r="334" spans="1:4" x14ac:dyDescent="0.3">
      <c r="A334" s="2">
        <v>46069</v>
      </c>
      <c r="B334" s="3" t="s">
        <v>6</v>
      </c>
      <c r="C334" s="3" t="s">
        <v>7</v>
      </c>
      <c r="D334" s="4">
        <v>70.63</v>
      </c>
    </row>
    <row r="335" spans="1:4" x14ac:dyDescent="0.3">
      <c r="A335" s="2">
        <v>46070</v>
      </c>
      <c r="B335" s="3" t="s">
        <v>8</v>
      </c>
      <c r="C335" s="3" t="s">
        <v>7</v>
      </c>
      <c r="D335" s="4">
        <v>26.06</v>
      </c>
    </row>
    <row r="336" spans="1:4" x14ac:dyDescent="0.3">
      <c r="A336" s="2">
        <v>46071</v>
      </c>
      <c r="B336" s="3" t="s">
        <v>8</v>
      </c>
      <c r="C336" s="3" t="s">
        <v>7</v>
      </c>
      <c r="D336" s="4">
        <v>25</v>
      </c>
    </row>
    <row r="337" spans="1:4" x14ac:dyDescent="0.3">
      <c r="A337" s="2">
        <v>46071</v>
      </c>
      <c r="B337" s="3" t="s">
        <v>10</v>
      </c>
      <c r="C337" s="3" t="s">
        <v>11</v>
      </c>
      <c r="D337" s="4">
        <v>522.95000000000005</v>
      </c>
    </row>
    <row r="338" spans="1:4" x14ac:dyDescent="0.3">
      <c r="A338" s="2">
        <v>46072</v>
      </c>
      <c r="B338" s="3" t="s">
        <v>8</v>
      </c>
      <c r="C338" s="3" t="s">
        <v>7</v>
      </c>
      <c r="D338" s="4">
        <v>42.1</v>
      </c>
    </row>
    <row r="339" spans="1:4" x14ac:dyDescent="0.3">
      <c r="A339" s="2">
        <v>46072</v>
      </c>
      <c r="B339" s="3" t="s">
        <v>9</v>
      </c>
      <c r="C339" s="3" t="s">
        <v>7</v>
      </c>
      <c r="D339" s="4">
        <v>159.37</v>
      </c>
    </row>
    <row r="340" spans="1:4" x14ac:dyDescent="0.3">
      <c r="A340" s="2">
        <v>46073</v>
      </c>
      <c r="B340" s="3" t="s">
        <v>6</v>
      </c>
      <c r="C340" s="3" t="s">
        <v>7</v>
      </c>
      <c r="D340" s="4">
        <v>80.08</v>
      </c>
    </row>
    <row r="341" spans="1:4" x14ac:dyDescent="0.3">
      <c r="A341" s="2">
        <v>46073</v>
      </c>
      <c r="B341" s="3" t="s">
        <v>8</v>
      </c>
      <c r="C341" s="3" t="s">
        <v>7</v>
      </c>
      <c r="D341" s="4">
        <v>17.559999999999999</v>
      </c>
    </row>
    <row r="342" spans="1:4" x14ac:dyDescent="0.3">
      <c r="A342" s="2">
        <v>46073</v>
      </c>
      <c r="B342" s="3" t="s">
        <v>14</v>
      </c>
      <c r="C342" s="3" t="s">
        <v>11</v>
      </c>
      <c r="D342" s="4">
        <v>150.4</v>
      </c>
    </row>
    <row r="343" spans="1:4" x14ac:dyDescent="0.3">
      <c r="A343" s="2">
        <v>46073</v>
      </c>
      <c r="B343" s="3" t="s">
        <v>12</v>
      </c>
      <c r="C343" s="3" t="s">
        <v>11</v>
      </c>
      <c r="D343" s="4">
        <v>497.81</v>
      </c>
    </row>
    <row r="344" spans="1:4" x14ac:dyDescent="0.3">
      <c r="A344" s="2">
        <v>46073</v>
      </c>
      <c r="B344" s="3" t="s">
        <v>10</v>
      </c>
      <c r="C344" s="3" t="s">
        <v>11</v>
      </c>
      <c r="D344" s="4">
        <v>565.41</v>
      </c>
    </row>
    <row r="345" spans="1:4" x14ac:dyDescent="0.3">
      <c r="A345" s="2">
        <v>46074</v>
      </c>
      <c r="B345" s="3" t="s">
        <v>12</v>
      </c>
      <c r="C345" s="3" t="s">
        <v>11</v>
      </c>
      <c r="D345" s="4">
        <v>214.75</v>
      </c>
    </row>
    <row r="346" spans="1:4" x14ac:dyDescent="0.3">
      <c r="A346" s="2">
        <v>46075</v>
      </c>
      <c r="B346" s="3" t="s">
        <v>6</v>
      </c>
      <c r="C346" s="3" t="s">
        <v>7</v>
      </c>
      <c r="D346" s="4">
        <v>97.04</v>
      </c>
    </row>
    <row r="347" spans="1:4" x14ac:dyDescent="0.3">
      <c r="A347" s="2">
        <v>46075</v>
      </c>
      <c r="B347" s="3" t="s">
        <v>8</v>
      </c>
      <c r="C347" s="3" t="s">
        <v>7</v>
      </c>
      <c r="D347" s="4">
        <v>16.84</v>
      </c>
    </row>
    <row r="348" spans="1:4" x14ac:dyDescent="0.3">
      <c r="A348" s="2">
        <v>46075</v>
      </c>
      <c r="B348" s="3" t="s">
        <v>14</v>
      </c>
      <c r="C348" s="3" t="s">
        <v>11</v>
      </c>
      <c r="D348" s="4">
        <v>101.18</v>
      </c>
    </row>
    <row r="349" spans="1:4" x14ac:dyDescent="0.3">
      <c r="A349" s="2">
        <v>46076</v>
      </c>
      <c r="B349" s="3" t="s">
        <v>6</v>
      </c>
      <c r="C349" s="3" t="s">
        <v>7</v>
      </c>
      <c r="D349" s="4">
        <v>57.41</v>
      </c>
    </row>
    <row r="350" spans="1:4" x14ac:dyDescent="0.3">
      <c r="A350" s="2">
        <v>46076</v>
      </c>
      <c r="B350" s="3" t="s">
        <v>8</v>
      </c>
      <c r="C350" s="3" t="s">
        <v>7</v>
      </c>
      <c r="D350" s="4">
        <v>26.71</v>
      </c>
    </row>
    <row r="351" spans="1:4" x14ac:dyDescent="0.3">
      <c r="A351" s="2">
        <v>46076</v>
      </c>
      <c r="B351" s="3" t="s">
        <v>14</v>
      </c>
      <c r="C351" s="3" t="s">
        <v>11</v>
      </c>
      <c r="D351" s="4">
        <v>133.97</v>
      </c>
    </row>
    <row r="352" spans="1:4" x14ac:dyDescent="0.3">
      <c r="A352" s="2">
        <v>46076</v>
      </c>
      <c r="B352" s="3" t="s">
        <v>10</v>
      </c>
      <c r="C352" s="3" t="s">
        <v>11</v>
      </c>
      <c r="D352" s="4">
        <v>552.57000000000005</v>
      </c>
    </row>
    <row r="353" spans="1:4" x14ac:dyDescent="0.3">
      <c r="A353" s="2">
        <v>46077</v>
      </c>
      <c r="B353" s="3" t="s">
        <v>8</v>
      </c>
      <c r="C353" s="3" t="s">
        <v>7</v>
      </c>
      <c r="D353" s="4">
        <v>33.85</v>
      </c>
    </row>
    <row r="354" spans="1:4" x14ac:dyDescent="0.3">
      <c r="A354" s="2">
        <v>46077</v>
      </c>
      <c r="B354" s="3" t="s">
        <v>14</v>
      </c>
      <c r="C354" s="3" t="s">
        <v>11</v>
      </c>
      <c r="D354" s="4">
        <v>78.72</v>
      </c>
    </row>
    <row r="355" spans="1:4" x14ac:dyDescent="0.3">
      <c r="A355" s="2">
        <v>46078</v>
      </c>
      <c r="B355" s="3" t="s">
        <v>6</v>
      </c>
      <c r="C355" s="3" t="s">
        <v>7</v>
      </c>
      <c r="D355" s="4">
        <v>94.29</v>
      </c>
    </row>
    <row r="356" spans="1:4" x14ac:dyDescent="0.3">
      <c r="A356" s="2">
        <v>46078</v>
      </c>
      <c r="B356" s="3" t="s">
        <v>8</v>
      </c>
      <c r="C356" s="3" t="s">
        <v>7</v>
      </c>
      <c r="D356" s="4">
        <v>49.16</v>
      </c>
    </row>
    <row r="357" spans="1:4" x14ac:dyDescent="0.3">
      <c r="A357" s="2">
        <v>46078</v>
      </c>
      <c r="B357" s="3" t="s">
        <v>14</v>
      </c>
      <c r="C357" s="3" t="s">
        <v>11</v>
      </c>
      <c r="D357" s="4">
        <v>155.21</v>
      </c>
    </row>
    <row r="358" spans="1:4" x14ac:dyDescent="0.3">
      <c r="A358" s="2">
        <v>46079</v>
      </c>
      <c r="B358" s="3" t="s">
        <v>6</v>
      </c>
      <c r="C358" s="3" t="s">
        <v>7</v>
      </c>
      <c r="D358" s="4">
        <v>81.34</v>
      </c>
    </row>
    <row r="359" spans="1:4" x14ac:dyDescent="0.3">
      <c r="A359" s="2">
        <v>46079</v>
      </c>
      <c r="B359" s="3" t="s">
        <v>9</v>
      </c>
      <c r="C359" s="3" t="s">
        <v>7</v>
      </c>
      <c r="D359" s="4">
        <v>247.13</v>
      </c>
    </row>
    <row r="360" spans="1:4" x14ac:dyDescent="0.3">
      <c r="A360" s="2">
        <v>46080</v>
      </c>
      <c r="B360" s="3" t="s">
        <v>10</v>
      </c>
      <c r="C360" s="3" t="s">
        <v>11</v>
      </c>
      <c r="D360" s="4">
        <v>373.01</v>
      </c>
    </row>
    <row r="361" spans="1:4" x14ac:dyDescent="0.3">
      <c r="A361" s="2">
        <v>46081</v>
      </c>
      <c r="B361" s="3" t="s">
        <v>8</v>
      </c>
      <c r="C361" s="3" t="s">
        <v>7</v>
      </c>
      <c r="D361" s="4">
        <v>42.64</v>
      </c>
    </row>
    <row r="362" spans="1:4" x14ac:dyDescent="0.3">
      <c r="A362" s="2">
        <v>46082</v>
      </c>
      <c r="B362" s="3" t="s">
        <v>4</v>
      </c>
      <c r="C362" s="3" t="s">
        <v>5</v>
      </c>
      <c r="D362" s="4">
        <v>3000</v>
      </c>
    </row>
    <row r="363" spans="1:4" x14ac:dyDescent="0.3">
      <c r="A363" s="2">
        <v>46082</v>
      </c>
      <c r="B363" s="3" t="s">
        <v>8</v>
      </c>
      <c r="C363" s="3" t="s">
        <v>7</v>
      </c>
      <c r="D363" s="4">
        <v>26.45</v>
      </c>
    </row>
    <row r="364" spans="1:4" x14ac:dyDescent="0.3">
      <c r="A364" s="2">
        <v>46082</v>
      </c>
      <c r="B364" s="3" t="s">
        <v>14</v>
      </c>
      <c r="C364" s="3" t="s">
        <v>11</v>
      </c>
      <c r="D364" s="4">
        <v>89.89</v>
      </c>
    </row>
    <row r="365" spans="1:4" x14ac:dyDescent="0.3">
      <c r="A365" s="2">
        <v>46082</v>
      </c>
      <c r="B365" s="3" t="s">
        <v>12</v>
      </c>
      <c r="C365" s="3" t="s">
        <v>11</v>
      </c>
      <c r="D365" s="4">
        <v>473.35</v>
      </c>
    </row>
    <row r="366" spans="1:4" x14ac:dyDescent="0.3">
      <c r="A366" s="2">
        <v>46083</v>
      </c>
      <c r="B366" s="3" t="s">
        <v>6</v>
      </c>
      <c r="C366" s="3" t="s">
        <v>7</v>
      </c>
      <c r="D366" s="4">
        <v>66.89</v>
      </c>
    </row>
    <row r="367" spans="1:4" x14ac:dyDescent="0.3">
      <c r="A367" s="2">
        <v>46083</v>
      </c>
      <c r="B367" s="3" t="s">
        <v>14</v>
      </c>
      <c r="C367" s="3" t="s">
        <v>11</v>
      </c>
      <c r="D367" s="4">
        <v>121.39</v>
      </c>
    </row>
    <row r="368" spans="1:4" x14ac:dyDescent="0.3">
      <c r="A368" s="2">
        <v>46084</v>
      </c>
      <c r="B368" s="3" t="s">
        <v>6</v>
      </c>
      <c r="C368" s="3" t="s">
        <v>7</v>
      </c>
      <c r="D368" s="4">
        <v>74.53</v>
      </c>
    </row>
    <row r="369" spans="1:4" x14ac:dyDescent="0.3">
      <c r="A369" s="2">
        <v>46085</v>
      </c>
      <c r="B369" s="3" t="s">
        <v>6</v>
      </c>
      <c r="C369" s="3" t="s">
        <v>7</v>
      </c>
      <c r="D369" s="4">
        <v>83.17</v>
      </c>
    </row>
    <row r="370" spans="1:4" x14ac:dyDescent="0.3">
      <c r="A370" s="2">
        <v>46085</v>
      </c>
      <c r="B370" s="3" t="s">
        <v>10</v>
      </c>
      <c r="C370" s="3" t="s">
        <v>11</v>
      </c>
      <c r="D370" s="4">
        <v>401.23</v>
      </c>
    </row>
    <row r="371" spans="1:4" x14ac:dyDescent="0.3">
      <c r="A371" s="2">
        <v>46086</v>
      </c>
      <c r="B371" s="3" t="s">
        <v>8</v>
      </c>
      <c r="C371" s="3" t="s">
        <v>7</v>
      </c>
      <c r="D371" s="4">
        <v>27.37</v>
      </c>
    </row>
    <row r="372" spans="1:4" x14ac:dyDescent="0.3">
      <c r="A372" s="2">
        <v>46086</v>
      </c>
      <c r="B372" s="3" t="s">
        <v>14</v>
      </c>
      <c r="C372" s="3" t="s">
        <v>11</v>
      </c>
      <c r="D372" s="4">
        <v>182.18</v>
      </c>
    </row>
    <row r="373" spans="1:4" x14ac:dyDescent="0.3">
      <c r="A373" s="2">
        <v>46086</v>
      </c>
      <c r="B373" s="3" t="s">
        <v>13</v>
      </c>
      <c r="C373" s="3" t="s">
        <v>7</v>
      </c>
      <c r="D373" s="4">
        <v>337.95</v>
      </c>
    </row>
    <row r="374" spans="1:4" x14ac:dyDescent="0.3">
      <c r="A374" s="2">
        <v>46087</v>
      </c>
      <c r="B374" s="3" t="s">
        <v>6</v>
      </c>
      <c r="C374" s="3" t="s">
        <v>7</v>
      </c>
      <c r="D374" s="4">
        <v>52.82</v>
      </c>
    </row>
    <row r="375" spans="1:4" x14ac:dyDescent="0.3">
      <c r="A375" s="2">
        <v>46088</v>
      </c>
      <c r="B375" s="3" t="s">
        <v>8</v>
      </c>
      <c r="C375" s="3" t="s">
        <v>7</v>
      </c>
      <c r="D375" s="4">
        <v>37.92</v>
      </c>
    </row>
    <row r="376" spans="1:4" x14ac:dyDescent="0.3">
      <c r="A376" s="2">
        <v>46089</v>
      </c>
      <c r="B376" s="3" t="s">
        <v>6</v>
      </c>
      <c r="C376" s="3" t="s">
        <v>7</v>
      </c>
      <c r="D376" s="4">
        <v>90.5</v>
      </c>
    </row>
    <row r="377" spans="1:4" x14ac:dyDescent="0.3">
      <c r="A377" s="2">
        <v>46089</v>
      </c>
      <c r="B377" s="3" t="s">
        <v>14</v>
      </c>
      <c r="C377" s="3" t="s">
        <v>11</v>
      </c>
      <c r="D377" s="4">
        <v>63.45</v>
      </c>
    </row>
    <row r="378" spans="1:4" x14ac:dyDescent="0.3">
      <c r="A378" s="2">
        <v>46091</v>
      </c>
      <c r="B378" s="3" t="s">
        <v>8</v>
      </c>
      <c r="C378" s="3" t="s">
        <v>7</v>
      </c>
      <c r="D378" s="4">
        <v>29.93</v>
      </c>
    </row>
    <row r="379" spans="1:4" x14ac:dyDescent="0.3">
      <c r="A379" s="2">
        <v>46091</v>
      </c>
      <c r="B379" s="3" t="s">
        <v>12</v>
      </c>
      <c r="C379" s="3" t="s">
        <v>11</v>
      </c>
      <c r="D379" s="4">
        <v>145.38</v>
      </c>
    </row>
    <row r="380" spans="1:4" x14ac:dyDescent="0.3">
      <c r="A380" s="2">
        <v>46092</v>
      </c>
      <c r="B380" s="3" t="s">
        <v>6</v>
      </c>
      <c r="C380" s="3" t="s">
        <v>7</v>
      </c>
      <c r="D380" s="4">
        <v>87.44</v>
      </c>
    </row>
    <row r="381" spans="1:4" x14ac:dyDescent="0.3">
      <c r="A381" s="2">
        <v>46092</v>
      </c>
      <c r="B381" s="3" t="s">
        <v>8</v>
      </c>
      <c r="C381" s="3" t="s">
        <v>7</v>
      </c>
      <c r="D381" s="4">
        <v>25.34</v>
      </c>
    </row>
    <row r="382" spans="1:4" x14ac:dyDescent="0.3">
      <c r="A382" s="2">
        <v>46093</v>
      </c>
      <c r="B382" s="3" t="s">
        <v>6</v>
      </c>
      <c r="C382" s="3" t="s">
        <v>7</v>
      </c>
      <c r="D382" s="4">
        <v>58.18</v>
      </c>
    </row>
    <row r="383" spans="1:4" x14ac:dyDescent="0.3">
      <c r="A383" s="2">
        <v>46093</v>
      </c>
      <c r="B383" s="3" t="s">
        <v>10</v>
      </c>
      <c r="C383" s="3" t="s">
        <v>11</v>
      </c>
      <c r="D383" s="4">
        <v>440.96</v>
      </c>
    </row>
    <row r="384" spans="1:4" x14ac:dyDescent="0.3">
      <c r="A384" s="2">
        <v>46094</v>
      </c>
      <c r="B384" s="3" t="s">
        <v>8</v>
      </c>
      <c r="C384" s="3" t="s">
        <v>7</v>
      </c>
      <c r="D384" s="4">
        <v>28.25</v>
      </c>
    </row>
    <row r="385" spans="1:4" x14ac:dyDescent="0.3">
      <c r="A385" s="2">
        <v>46094</v>
      </c>
      <c r="B385" s="3" t="s">
        <v>14</v>
      </c>
      <c r="C385" s="3" t="s">
        <v>11</v>
      </c>
      <c r="D385" s="4">
        <v>158.43</v>
      </c>
    </row>
    <row r="386" spans="1:4" x14ac:dyDescent="0.3">
      <c r="A386" s="2">
        <v>46095</v>
      </c>
      <c r="B386" s="3" t="s">
        <v>9</v>
      </c>
      <c r="C386" s="3" t="s">
        <v>7</v>
      </c>
      <c r="D386" s="4">
        <v>100.25</v>
      </c>
    </row>
    <row r="387" spans="1:4" x14ac:dyDescent="0.3">
      <c r="A387" s="2">
        <v>46095</v>
      </c>
      <c r="B387" s="3" t="s">
        <v>10</v>
      </c>
      <c r="C387" s="3" t="s">
        <v>11</v>
      </c>
      <c r="D387" s="4">
        <v>495.19</v>
      </c>
    </row>
    <row r="388" spans="1:4" x14ac:dyDescent="0.3">
      <c r="A388" s="2">
        <v>46096</v>
      </c>
      <c r="B388" s="3" t="s">
        <v>6</v>
      </c>
      <c r="C388" s="3" t="s">
        <v>7</v>
      </c>
      <c r="D388" s="4">
        <v>86.93</v>
      </c>
    </row>
    <row r="389" spans="1:4" x14ac:dyDescent="0.3">
      <c r="A389" s="2">
        <v>46096</v>
      </c>
      <c r="B389" s="3" t="s">
        <v>8</v>
      </c>
      <c r="C389" s="3" t="s">
        <v>7</v>
      </c>
      <c r="D389" s="4">
        <v>43.46</v>
      </c>
    </row>
    <row r="390" spans="1:4" x14ac:dyDescent="0.3">
      <c r="A390" s="2">
        <v>46096</v>
      </c>
      <c r="B390" s="3" t="s">
        <v>9</v>
      </c>
      <c r="C390" s="3" t="s">
        <v>7</v>
      </c>
      <c r="D390" s="4">
        <v>127.32</v>
      </c>
    </row>
    <row r="391" spans="1:4" x14ac:dyDescent="0.3">
      <c r="A391" s="2">
        <v>46097</v>
      </c>
      <c r="B391" s="3" t="s">
        <v>8</v>
      </c>
      <c r="C391" s="3" t="s">
        <v>7</v>
      </c>
      <c r="D391" s="4">
        <v>42.31</v>
      </c>
    </row>
    <row r="392" spans="1:4" x14ac:dyDescent="0.3">
      <c r="A392" s="2">
        <v>46097</v>
      </c>
      <c r="B392" s="3" t="s">
        <v>12</v>
      </c>
      <c r="C392" s="3" t="s">
        <v>11</v>
      </c>
      <c r="D392" s="4">
        <v>488.95</v>
      </c>
    </row>
    <row r="393" spans="1:4" x14ac:dyDescent="0.3">
      <c r="A393" s="2">
        <v>46098</v>
      </c>
      <c r="B393" s="3" t="s">
        <v>8</v>
      </c>
      <c r="C393" s="3" t="s">
        <v>7</v>
      </c>
      <c r="D393" s="4">
        <v>45.93</v>
      </c>
    </row>
    <row r="394" spans="1:4" x14ac:dyDescent="0.3">
      <c r="A394" s="2">
        <v>46098</v>
      </c>
      <c r="B394" s="3" t="s">
        <v>9</v>
      </c>
      <c r="C394" s="3" t="s">
        <v>7</v>
      </c>
      <c r="D394" s="4">
        <v>291.57</v>
      </c>
    </row>
    <row r="395" spans="1:4" x14ac:dyDescent="0.3">
      <c r="A395" s="2">
        <v>46099</v>
      </c>
      <c r="B395" s="3" t="s">
        <v>8</v>
      </c>
      <c r="C395" s="3" t="s">
        <v>7</v>
      </c>
      <c r="D395" s="4">
        <v>20.81</v>
      </c>
    </row>
    <row r="396" spans="1:4" x14ac:dyDescent="0.3">
      <c r="A396" s="2">
        <v>46099</v>
      </c>
      <c r="B396" s="3" t="s">
        <v>14</v>
      </c>
      <c r="C396" s="3" t="s">
        <v>11</v>
      </c>
      <c r="D396" s="4">
        <v>82.93</v>
      </c>
    </row>
    <row r="397" spans="1:4" x14ac:dyDescent="0.3">
      <c r="A397" s="2">
        <v>46101</v>
      </c>
      <c r="B397" s="3" t="s">
        <v>6</v>
      </c>
      <c r="C397" s="3" t="s">
        <v>7</v>
      </c>
      <c r="D397" s="4">
        <v>70.19</v>
      </c>
    </row>
    <row r="398" spans="1:4" x14ac:dyDescent="0.3">
      <c r="A398" s="2">
        <v>46101</v>
      </c>
      <c r="B398" s="3" t="s">
        <v>8</v>
      </c>
      <c r="C398" s="3" t="s">
        <v>7</v>
      </c>
      <c r="D398" s="4">
        <v>33.42</v>
      </c>
    </row>
    <row r="399" spans="1:4" x14ac:dyDescent="0.3">
      <c r="A399" s="2">
        <v>46101</v>
      </c>
      <c r="B399" s="3" t="s">
        <v>14</v>
      </c>
      <c r="C399" s="3" t="s">
        <v>11</v>
      </c>
      <c r="D399" s="4">
        <v>238.32</v>
      </c>
    </row>
    <row r="400" spans="1:4" x14ac:dyDescent="0.3">
      <c r="A400" s="2">
        <v>46101</v>
      </c>
      <c r="B400" s="3" t="s">
        <v>12</v>
      </c>
      <c r="C400" s="3" t="s">
        <v>11</v>
      </c>
      <c r="D400" s="4">
        <v>363.49</v>
      </c>
    </row>
    <row r="401" spans="1:4" x14ac:dyDescent="0.3">
      <c r="A401" s="2">
        <v>46102</v>
      </c>
      <c r="B401" s="3" t="s">
        <v>12</v>
      </c>
      <c r="C401" s="3" t="s">
        <v>11</v>
      </c>
      <c r="D401" s="4">
        <v>118.18</v>
      </c>
    </row>
    <row r="402" spans="1:4" x14ac:dyDescent="0.3">
      <c r="A402" s="2">
        <v>46104</v>
      </c>
      <c r="B402" s="3" t="s">
        <v>6</v>
      </c>
      <c r="C402" s="3" t="s">
        <v>7</v>
      </c>
      <c r="D402" s="4">
        <v>113.78</v>
      </c>
    </row>
    <row r="403" spans="1:4" x14ac:dyDescent="0.3">
      <c r="A403" s="2">
        <v>46104</v>
      </c>
      <c r="B403" s="3" t="s">
        <v>8</v>
      </c>
      <c r="C403" s="3" t="s">
        <v>7</v>
      </c>
      <c r="D403" s="4">
        <v>43.49</v>
      </c>
    </row>
    <row r="404" spans="1:4" x14ac:dyDescent="0.3">
      <c r="A404" s="2">
        <v>46104</v>
      </c>
      <c r="B404" s="3" t="s">
        <v>9</v>
      </c>
      <c r="C404" s="3" t="s">
        <v>7</v>
      </c>
      <c r="D404" s="4">
        <v>64.98</v>
      </c>
    </row>
    <row r="405" spans="1:4" x14ac:dyDescent="0.3">
      <c r="A405" s="2">
        <v>46105</v>
      </c>
      <c r="B405" s="3" t="s">
        <v>6</v>
      </c>
      <c r="C405" s="3" t="s">
        <v>7</v>
      </c>
      <c r="D405" s="4">
        <v>63.6</v>
      </c>
    </row>
    <row r="406" spans="1:4" x14ac:dyDescent="0.3">
      <c r="A406" s="2">
        <v>46106</v>
      </c>
      <c r="B406" s="3" t="s">
        <v>8</v>
      </c>
      <c r="C406" s="3" t="s">
        <v>7</v>
      </c>
      <c r="D406" s="4">
        <v>29.02</v>
      </c>
    </row>
    <row r="407" spans="1:4" x14ac:dyDescent="0.3">
      <c r="A407" s="2">
        <v>46107</v>
      </c>
      <c r="B407" s="3" t="s">
        <v>6</v>
      </c>
      <c r="C407" s="3" t="s">
        <v>7</v>
      </c>
      <c r="D407" s="4">
        <v>56.45</v>
      </c>
    </row>
    <row r="408" spans="1:4" x14ac:dyDescent="0.3">
      <c r="A408" s="2">
        <v>46107</v>
      </c>
      <c r="B408" s="3" t="s">
        <v>8</v>
      </c>
      <c r="C408" s="3" t="s">
        <v>7</v>
      </c>
      <c r="D408" s="4">
        <v>29.47</v>
      </c>
    </row>
    <row r="409" spans="1:4" x14ac:dyDescent="0.3">
      <c r="A409" s="2">
        <v>46107</v>
      </c>
      <c r="B409" s="3" t="s">
        <v>12</v>
      </c>
      <c r="C409" s="3" t="s">
        <v>11</v>
      </c>
      <c r="D409" s="4">
        <v>446.12</v>
      </c>
    </row>
    <row r="410" spans="1:4" x14ac:dyDescent="0.3">
      <c r="A410" s="2">
        <v>46107</v>
      </c>
      <c r="B410" s="3" t="s">
        <v>9</v>
      </c>
      <c r="C410" s="3" t="s">
        <v>7</v>
      </c>
      <c r="D410" s="4">
        <v>131.86000000000001</v>
      </c>
    </row>
    <row r="411" spans="1:4" x14ac:dyDescent="0.3">
      <c r="A411" s="2">
        <v>46108</v>
      </c>
      <c r="B411" s="3" t="s">
        <v>6</v>
      </c>
      <c r="C411" s="3" t="s">
        <v>7</v>
      </c>
      <c r="D411" s="4">
        <v>100.87</v>
      </c>
    </row>
    <row r="412" spans="1:4" x14ac:dyDescent="0.3">
      <c r="A412" s="2">
        <v>46108</v>
      </c>
      <c r="B412" s="3" t="s">
        <v>8</v>
      </c>
      <c r="C412" s="3" t="s">
        <v>7</v>
      </c>
      <c r="D412" s="4">
        <v>33.82</v>
      </c>
    </row>
    <row r="413" spans="1:4" x14ac:dyDescent="0.3">
      <c r="A413" s="2">
        <v>46108</v>
      </c>
      <c r="B413" s="3" t="s">
        <v>9</v>
      </c>
      <c r="C413" s="3" t="s">
        <v>7</v>
      </c>
      <c r="D413" s="4">
        <v>286.31</v>
      </c>
    </row>
    <row r="414" spans="1:4" x14ac:dyDescent="0.3">
      <c r="A414" s="2">
        <v>46109</v>
      </c>
      <c r="B414" s="3" t="s">
        <v>8</v>
      </c>
      <c r="C414" s="3" t="s">
        <v>7</v>
      </c>
      <c r="D414" s="4">
        <v>28.43</v>
      </c>
    </row>
    <row r="415" spans="1:4" x14ac:dyDescent="0.3">
      <c r="A415" s="2">
        <v>46109</v>
      </c>
      <c r="B415" s="3" t="s">
        <v>14</v>
      </c>
      <c r="C415" s="3" t="s">
        <v>11</v>
      </c>
      <c r="D415" s="4">
        <v>148.97999999999999</v>
      </c>
    </row>
    <row r="416" spans="1:4" x14ac:dyDescent="0.3">
      <c r="A416" s="2">
        <v>46110</v>
      </c>
      <c r="B416" s="3" t="s">
        <v>6</v>
      </c>
      <c r="C416" s="3" t="s">
        <v>7</v>
      </c>
      <c r="D416" s="4">
        <v>106.48</v>
      </c>
    </row>
    <row r="417" spans="1:4" x14ac:dyDescent="0.3">
      <c r="A417" s="2">
        <v>46110</v>
      </c>
      <c r="B417" s="3" t="s">
        <v>8</v>
      </c>
      <c r="C417" s="3" t="s">
        <v>7</v>
      </c>
      <c r="D417" s="4">
        <v>46.08</v>
      </c>
    </row>
    <row r="418" spans="1:4" x14ac:dyDescent="0.3">
      <c r="A418" s="2">
        <v>46111</v>
      </c>
      <c r="B418" s="3" t="s">
        <v>8</v>
      </c>
      <c r="C418" s="3" t="s">
        <v>7</v>
      </c>
      <c r="D418" s="4">
        <v>35.11</v>
      </c>
    </row>
    <row r="419" spans="1:4" x14ac:dyDescent="0.3">
      <c r="A419" s="2">
        <v>46111</v>
      </c>
      <c r="B419" s="3" t="s">
        <v>14</v>
      </c>
      <c r="C419" s="3" t="s">
        <v>11</v>
      </c>
      <c r="D419" s="4">
        <v>150.85</v>
      </c>
    </row>
    <row r="420" spans="1:4" x14ac:dyDescent="0.3">
      <c r="A420" s="2">
        <v>46112</v>
      </c>
      <c r="B420" s="3" t="s">
        <v>8</v>
      </c>
      <c r="C420" s="3" t="s">
        <v>7</v>
      </c>
      <c r="D420" s="4">
        <v>49.17</v>
      </c>
    </row>
    <row r="421" spans="1:4" x14ac:dyDescent="0.3">
      <c r="A421" s="2">
        <v>46113</v>
      </c>
      <c r="B421" s="3" t="s">
        <v>4</v>
      </c>
      <c r="C421" s="3" t="s">
        <v>5</v>
      </c>
      <c r="D421" s="4">
        <v>3000</v>
      </c>
    </row>
    <row r="422" spans="1:4" x14ac:dyDescent="0.3">
      <c r="A422" s="2">
        <v>46113</v>
      </c>
      <c r="B422" s="3" t="s">
        <v>6</v>
      </c>
      <c r="C422" s="3" t="s">
        <v>7</v>
      </c>
      <c r="D422" s="4">
        <v>83.94</v>
      </c>
    </row>
    <row r="423" spans="1:4" x14ac:dyDescent="0.3">
      <c r="A423" s="2">
        <v>46113</v>
      </c>
      <c r="B423" s="3" t="s">
        <v>8</v>
      </c>
      <c r="C423" s="3" t="s">
        <v>7</v>
      </c>
      <c r="D423" s="4">
        <v>18.18</v>
      </c>
    </row>
    <row r="424" spans="1:4" x14ac:dyDescent="0.3">
      <c r="A424" s="2">
        <v>46113</v>
      </c>
      <c r="B424" s="3" t="s">
        <v>14</v>
      </c>
      <c r="C424" s="3" t="s">
        <v>11</v>
      </c>
      <c r="D424" s="4">
        <v>116.61</v>
      </c>
    </row>
    <row r="425" spans="1:4" x14ac:dyDescent="0.3">
      <c r="A425" s="2">
        <v>46114</v>
      </c>
      <c r="B425" s="3" t="s">
        <v>6</v>
      </c>
      <c r="C425" s="3" t="s">
        <v>7</v>
      </c>
      <c r="D425" s="4">
        <v>71.86</v>
      </c>
    </row>
    <row r="426" spans="1:4" x14ac:dyDescent="0.3">
      <c r="A426" s="2">
        <v>46114</v>
      </c>
      <c r="B426" s="3" t="s">
        <v>14</v>
      </c>
      <c r="C426" s="3" t="s">
        <v>11</v>
      </c>
      <c r="D426" s="4">
        <v>248.12</v>
      </c>
    </row>
    <row r="427" spans="1:4" x14ac:dyDescent="0.3">
      <c r="A427" s="2">
        <v>46115</v>
      </c>
      <c r="B427" s="3" t="s">
        <v>8</v>
      </c>
      <c r="C427" s="3" t="s">
        <v>7</v>
      </c>
      <c r="D427" s="4">
        <v>40.29</v>
      </c>
    </row>
    <row r="428" spans="1:4" x14ac:dyDescent="0.3">
      <c r="A428" s="2">
        <v>46116</v>
      </c>
      <c r="B428" s="3" t="s">
        <v>10</v>
      </c>
      <c r="C428" s="3" t="s">
        <v>11</v>
      </c>
      <c r="D428" s="4">
        <v>337.3</v>
      </c>
    </row>
    <row r="429" spans="1:4" x14ac:dyDescent="0.3">
      <c r="A429" s="2">
        <v>46117</v>
      </c>
      <c r="B429" s="3" t="s">
        <v>13</v>
      </c>
      <c r="C429" s="3" t="s">
        <v>7</v>
      </c>
      <c r="D429" s="4">
        <v>234.1</v>
      </c>
    </row>
    <row r="430" spans="1:4" x14ac:dyDescent="0.3">
      <c r="A430" s="2">
        <v>46118</v>
      </c>
      <c r="B430" s="3" t="s">
        <v>12</v>
      </c>
      <c r="C430" s="3" t="s">
        <v>11</v>
      </c>
      <c r="D430" s="4">
        <v>372.29</v>
      </c>
    </row>
    <row r="431" spans="1:4" x14ac:dyDescent="0.3">
      <c r="A431" s="2">
        <v>46118</v>
      </c>
      <c r="B431" s="3" t="s">
        <v>9</v>
      </c>
      <c r="C431" s="3" t="s">
        <v>7</v>
      </c>
      <c r="D431" s="4">
        <v>287.05</v>
      </c>
    </row>
    <row r="432" spans="1:4" x14ac:dyDescent="0.3">
      <c r="A432" s="2">
        <v>46118</v>
      </c>
      <c r="B432" s="3" t="s">
        <v>10</v>
      </c>
      <c r="C432" s="3" t="s">
        <v>11</v>
      </c>
      <c r="D432" s="4">
        <v>109.47</v>
      </c>
    </row>
    <row r="433" spans="1:4" x14ac:dyDescent="0.3">
      <c r="A433" s="2">
        <v>46119</v>
      </c>
      <c r="B433" s="3" t="s">
        <v>6</v>
      </c>
      <c r="C433" s="3" t="s">
        <v>7</v>
      </c>
      <c r="D433" s="4">
        <v>60.1</v>
      </c>
    </row>
    <row r="434" spans="1:4" x14ac:dyDescent="0.3">
      <c r="A434" s="2">
        <v>46120</v>
      </c>
      <c r="B434" s="3" t="s">
        <v>8</v>
      </c>
      <c r="C434" s="3" t="s">
        <v>7</v>
      </c>
      <c r="D434" s="4">
        <v>21.27</v>
      </c>
    </row>
    <row r="435" spans="1:4" x14ac:dyDescent="0.3">
      <c r="A435" s="2">
        <v>46120</v>
      </c>
      <c r="B435" s="3" t="s">
        <v>14</v>
      </c>
      <c r="C435" s="3" t="s">
        <v>11</v>
      </c>
      <c r="D435" s="4">
        <v>115.01</v>
      </c>
    </row>
    <row r="436" spans="1:4" x14ac:dyDescent="0.3">
      <c r="A436" s="2">
        <v>46121</v>
      </c>
      <c r="B436" s="3" t="s">
        <v>6</v>
      </c>
      <c r="C436" s="3" t="s">
        <v>7</v>
      </c>
      <c r="D436" s="4">
        <v>110.81</v>
      </c>
    </row>
    <row r="437" spans="1:4" x14ac:dyDescent="0.3">
      <c r="A437" s="2">
        <v>46121</v>
      </c>
      <c r="B437" s="3" t="s">
        <v>8</v>
      </c>
      <c r="C437" s="3" t="s">
        <v>7</v>
      </c>
      <c r="D437" s="4">
        <v>28.48</v>
      </c>
    </row>
    <row r="438" spans="1:4" x14ac:dyDescent="0.3">
      <c r="A438" s="2">
        <v>46122</v>
      </c>
      <c r="B438" s="3" t="s">
        <v>8</v>
      </c>
      <c r="C438" s="3" t="s">
        <v>7</v>
      </c>
      <c r="D438" s="4">
        <v>24.88</v>
      </c>
    </row>
    <row r="439" spans="1:4" x14ac:dyDescent="0.3">
      <c r="A439" s="2">
        <v>46122</v>
      </c>
      <c r="B439" s="3" t="s">
        <v>12</v>
      </c>
      <c r="C439" s="3" t="s">
        <v>11</v>
      </c>
      <c r="D439" s="4">
        <v>489.16</v>
      </c>
    </row>
    <row r="440" spans="1:4" x14ac:dyDescent="0.3">
      <c r="A440" s="2">
        <v>46123</v>
      </c>
      <c r="B440" s="3" t="s">
        <v>6</v>
      </c>
      <c r="C440" s="3" t="s">
        <v>7</v>
      </c>
      <c r="D440" s="4">
        <v>97</v>
      </c>
    </row>
    <row r="441" spans="1:4" x14ac:dyDescent="0.3">
      <c r="A441" s="2">
        <v>46123</v>
      </c>
      <c r="B441" s="3" t="s">
        <v>8</v>
      </c>
      <c r="C441" s="3" t="s">
        <v>7</v>
      </c>
      <c r="D441" s="4">
        <v>28.29</v>
      </c>
    </row>
    <row r="442" spans="1:4" x14ac:dyDescent="0.3">
      <c r="A442" s="2">
        <v>46123</v>
      </c>
      <c r="B442" s="3" t="s">
        <v>10</v>
      </c>
      <c r="C442" s="3" t="s">
        <v>11</v>
      </c>
      <c r="D442" s="4">
        <v>438.31</v>
      </c>
    </row>
    <row r="443" spans="1:4" x14ac:dyDescent="0.3">
      <c r="A443" s="2">
        <v>46124</v>
      </c>
      <c r="B443" s="3" t="s">
        <v>6</v>
      </c>
      <c r="C443" s="3" t="s">
        <v>7</v>
      </c>
      <c r="D443" s="4">
        <v>115.34</v>
      </c>
    </row>
    <row r="444" spans="1:4" x14ac:dyDescent="0.3">
      <c r="A444" s="2">
        <v>46125</v>
      </c>
      <c r="B444" s="3" t="s">
        <v>8</v>
      </c>
      <c r="C444" s="3" t="s">
        <v>7</v>
      </c>
      <c r="D444" s="4">
        <v>31.41</v>
      </c>
    </row>
    <row r="445" spans="1:4" x14ac:dyDescent="0.3">
      <c r="A445" s="2">
        <v>46125</v>
      </c>
      <c r="B445" s="3" t="s">
        <v>9</v>
      </c>
      <c r="C445" s="3" t="s">
        <v>7</v>
      </c>
      <c r="D445" s="4">
        <v>184.64</v>
      </c>
    </row>
    <row r="446" spans="1:4" x14ac:dyDescent="0.3">
      <c r="A446" s="2">
        <v>46126</v>
      </c>
      <c r="B446" s="3" t="s">
        <v>8</v>
      </c>
      <c r="C446" s="3" t="s">
        <v>7</v>
      </c>
      <c r="D446" s="4">
        <v>37.19</v>
      </c>
    </row>
    <row r="447" spans="1:4" x14ac:dyDescent="0.3">
      <c r="A447" s="2">
        <v>46126</v>
      </c>
      <c r="B447" s="3" t="s">
        <v>12</v>
      </c>
      <c r="C447" s="3" t="s">
        <v>11</v>
      </c>
      <c r="D447" s="4">
        <v>367.93</v>
      </c>
    </row>
    <row r="448" spans="1:4" x14ac:dyDescent="0.3">
      <c r="A448" s="2">
        <v>46127</v>
      </c>
      <c r="B448" s="3" t="s">
        <v>6</v>
      </c>
      <c r="C448" s="3" t="s">
        <v>7</v>
      </c>
      <c r="D448" s="4">
        <v>77.55</v>
      </c>
    </row>
    <row r="449" spans="1:4" x14ac:dyDescent="0.3">
      <c r="A449" s="2">
        <v>46127</v>
      </c>
      <c r="B449" s="3" t="s">
        <v>14</v>
      </c>
      <c r="C449" s="3" t="s">
        <v>11</v>
      </c>
      <c r="D449" s="4">
        <v>204.15</v>
      </c>
    </row>
    <row r="450" spans="1:4" x14ac:dyDescent="0.3">
      <c r="A450" s="2">
        <v>46127</v>
      </c>
      <c r="B450" s="3" t="s">
        <v>12</v>
      </c>
      <c r="C450" s="3" t="s">
        <v>11</v>
      </c>
      <c r="D450" s="4">
        <v>320.14</v>
      </c>
    </row>
    <row r="451" spans="1:4" x14ac:dyDescent="0.3">
      <c r="A451" s="2">
        <v>46128</v>
      </c>
      <c r="B451" s="3" t="s">
        <v>12</v>
      </c>
      <c r="C451" s="3" t="s">
        <v>11</v>
      </c>
      <c r="D451" s="4">
        <v>485.57</v>
      </c>
    </row>
    <row r="452" spans="1:4" x14ac:dyDescent="0.3">
      <c r="A452" s="2">
        <v>46129</v>
      </c>
      <c r="B452" s="3" t="s">
        <v>8</v>
      </c>
      <c r="C452" s="3" t="s">
        <v>7</v>
      </c>
      <c r="D452" s="4">
        <v>35.799999999999997</v>
      </c>
    </row>
    <row r="453" spans="1:4" x14ac:dyDescent="0.3">
      <c r="A453" s="2">
        <v>46130</v>
      </c>
      <c r="B453" s="3" t="s">
        <v>6</v>
      </c>
      <c r="C453" s="3" t="s">
        <v>7</v>
      </c>
      <c r="D453" s="4">
        <v>108.82</v>
      </c>
    </row>
    <row r="454" spans="1:4" x14ac:dyDescent="0.3">
      <c r="A454" s="2">
        <v>46130</v>
      </c>
      <c r="B454" s="3" t="s">
        <v>8</v>
      </c>
      <c r="C454" s="3" t="s">
        <v>7</v>
      </c>
      <c r="D454" s="4">
        <v>47.32</v>
      </c>
    </row>
    <row r="455" spans="1:4" x14ac:dyDescent="0.3">
      <c r="A455" s="2">
        <v>46131</v>
      </c>
      <c r="B455" s="3" t="s">
        <v>12</v>
      </c>
      <c r="C455" s="3" t="s">
        <v>11</v>
      </c>
      <c r="D455" s="4">
        <v>327.18</v>
      </c>
    </row>
    <row r="456" spans="1:4" x14ac:dyDescent="0.3">
      <c r="A456" s="2">
        <v>46131</v>
      </c>
      <c r="B456" s="3" t="s">
        <v>9</v>
      </c>
      <c r="C456" s="3" t="s">
        <v>7</v>
      </c>
      <c r="D456" s="4">
        <v>295.75</v>
      </c>
    </row>
    <row r="457" spans="1:4" x14ac:dyDescent="0.3">
      <c r="A457" s="2">
        <v>46132</v>
      </c>
      <c r="B457" s="3" t="s">
        <v>8</v>
      </c>
      <c r="C457" s="3" t="s">
        <v>7</v>
      </c>
      <c r="D457" s="4">
        <v>33.130000000000003</v>
      </c>
    </row>
    <row r="458" spans="1:4" x14ac:dyDescent="0.3">
      <c r="A458" s="2">
        <v>46133</v>
      </c>
      <c r="B458" s="3" t="s">
        <v>6</v>
      </c>
      <c r="C458" s="3" t="s">
        <v>7</v>
      </c>
      <c r="D458" s="4">
        <v>60.83</v>
      </c>
    </row>
    <row r="459" spans="1:4" x14ac:dyDescent="0.3">
      <c r="A459" s="2">
        <v>46133</v>
      </c>
      <c r="B459" s="3" t="s">
        <v>8</v>
      </c>
      <c r="C459" s="3" t="s">
        <v>7</v>
      </c>
      <c r="D459" s="4">
        <v>25.24</v>
      </c>
    </row>
    <row r="460" spans="1:4" x14ac:dyDescent="0.3">
      <c r="A460" s="2">
        <v>46133</v>
      </c>
      <c r="B460" s="3" t="s">
        <v>14</v>
      </c>
      <c r="C460" s="3" t="s">
        <v>11</v>
      </c>
      <c r="D460" s="4">
        <v>197.32</v>
      </c>
    </row>
    <row r="461" spans="1:4" x14ac:dyDescent="0.3">
      <c r="A461" s="2">
        <v>46134</v>
      </c>
      <c r="B461" s="3" t="s">
        <v>6</v>
      </c>
      <c r="C461" s="3" t="s">
        <v>7</v>
      </c>
      <c r="D461" s="4">
        <v>107.08</v>
      </c>
    </row>
    <row r="462" spans="1:4" x14ac:dyDescent="0.3">
      <c r="A462" s="2">
        <v>46134</v>
      </c>
      <c r="B462" s="3" t="s">
        <v>9</v>
      </c>
      <c r="C462" s="3" t="s">
        <v>7</v>
      </c>
      <c r="D462" s="4">
        <v>217.31</v>
      </c>
    </row>
    <row r="463" spans="1:4" x14ac:dyDescent="0.3">
      <c r="A463" s="2">
        <v>46135</v>
      </c>
      <c r="B463" s="3" t="s">
        <v>6</v>
      </c>
      <c r="C463" s="3" t="s">
        <v>7</v>
      </c>
      <c r="D463" s="4">
        <v>71.569999999999993</v>
      </c>
    </row>
    <row r="464" spans="1:4" x14ac:dyDescent="0.3">
      <c r="A464" s="2">
        <v>46135</v>
      </c>
      <c r="B464" s="3" t="s">
        <v>8</v>
      </c>
      <c r="C464" s="3" t="s">
        <v>7</v>
      </c>
      <c r="D464" s="4">
        <v>25.36</v>
      </c>
    </row>
    <row r="465" spans="1:4" x14ac:dyDescent="0.3">
      <c r="A465" s="2">
        <v>46135</v>
      </c>
      <c r="B465" s="3" t="s">
        <v>14</v>
      </c>
      <c r="C465" s="3" t="s">
        <v>11</v>
      </c>
      <c r="D465" s="4">
        <v>200.75</v>
      </c>
    </row>
    <row r="466" spans="1:4" x14ac:dyDescent="0.3">
      <c r="A466" s="2">
        <v>46136</v>
      </c>
      <c r="B466" s="3" t="s">
        <v>6</v>
      </c>
      <c r="C466" s="3" t="s">
        <v>7</v>
      </c>
      <c r="D466" s="4">
        <v>93.58</v>
      </c>
    </row>
    <row r="467" spans="1:4" x14ac:dyDescent="0.3">
      <c r="A467" s="2">
        <v>46136</v>
      </c>
      <c r="B467" s="3" t="s">
        <v>14</v>
      </c>
      <c r="C467" s="3" t="s">
        <v>11</v>
      </c>
      <c r="D467" s="4">
        <v>73.64</v>
      </c>
    </row>
    <row r="468" spans="1:4" x14ac:dyDescent="0.3">
      <c r="A468" s="2">
        <v>46137</v>
      </c>
      <c r="B468" s="3" t="s">
        <v>12</v>
      </c>
      <c r="C468" s="3" t="s">
        <v>11</v>
      </c>
      <c r="D468" s="4">
        <v>466.45</v>
      </c>
    </row>
    <row r="469" spans="1:4" x14ac:dyDescent="0.3">
      <c r="A469" s="2">
        <v>46138</v>
      </c>
      <c r="B469" s="3" t="s">
        <v>6</v>
      </c>
      <c r="C469" s="3" t="s">
        <v>7</v>
      </c>
      <c r="D469" s="4">
        <v>58.9</v>
      </c>
    </row>
    <row r="470" spans="1:4" x14ac:dyDescent="0.3">
      <c r="A470" s="2">
        <v>46138</v>
      </c>
      <c r="B470" s="3" t="s">
        <v>8</v>
      </c>
      <c r="C470" s="3" t="s">
        <v>7</v>
      </c>
      <c r="D470" s="4">
        <v>41.59</v>
      </c>
    </row>
    <row r="471" spans="1:4" x14ac:dyDescent="0.3">
      <c r="A471" s="2">
        <v>46139</v>
      </c>
      <c r="B471" s="3" t="s">
        <v>6</v>
      </c>
      <c r="C471" s="3" t="s">
        <v>7</v>
      </c>
      <c r="D471" s="4">
        <v>94.27</v>
      </c>
    </row>
    <row r="472" spans="1:4" x14ac:dyDescent="0.3">
      <c r="A472" s="2">
        <v>46139</v>
      </c>
      <c r="B472" s="3" t="s">
        <v>8</v>
      </c>
      <c r="C472" s="3" t="s">
        <v>7</v>
      </c>
      <c r="D472" s="4">
        <v>24.92</v>
      </c>
    </row>
    <row r="473" spans="1:4" x14ac:dyDescent="0.3">
      <c r="A473" s="2">
        <v>46139</v>
      </c>
      <c r="B473" s="3" t="s">
        <v>9</v>
      </c>
      <c r="C473" s="3" t="s">
        <v>7</v>
      </c>
      <c r="D473" s="4">
        <v>161.69</v>
      </c>
    </row>
    <row r="474" spans="1:4" x14ac:dyDescent="0.3">
      <c r="A474" s="2">
        <v>46140</v>
      </c>
      <c r="B474" s="3" t="s">
        <v>6</v>
      </c>
      <c r="C474" s="3" t="s">
        <v>7</v>
      </c>
      <c r="D474" s="4">
        <v>87.61</v>
      </c>
    </row>
    <row r="475" spans="1:4" x14ac:dyDescent="0.3">
      <c r="A475" s="2">
        <v>46140</v>
      </c>
      <c r="B475" s="3" t="s">
        <v>8</v>
      </c>
      <c r="C475" s="3" t="s">
        <v>7</v>
      </c>
      <c r="D475" s="4">
        <v>34.92</v>
      </c>
    </row>
    <row r="476" spans="1:4" x14ac:dyDescent="0.3">
      <c r="A476" s="2">
        <v>46140</v>
      </c>
      <c r="B476" s="3" t="s">
        <v>9</v>
      </c>
      <c r="C476" s="3" t="s">
        <v>7</v>
      </c>
      <c r="D476" s="4">
        <v>132.03</v>
      </c>
    </row>
    <row r="477" spans="1:4" x14ac:dyDescent="0.3">
      <c r="A477" s="2">
        <v>46141</v>
      </c>
      <c r="B477" s="3" t="s">
        <v>6</v>
      </c>
      <c r="C477" s="3" t="s">
        <v>7</v>
      </c>
      <c r="D477" s="4">
        <v>63.69</v>
      </c>
    </row>
    <row r="478" spans="1:4" x14ac:dyDescent="0.3">
      <c r="A478" s="2">
        <v>46141</v>
      </c>
      <c r="B478" s="3" t="s">
        <v>14</v>
      </c>
      <c r="C478" s="3" t="s">
        <v>11</v>
      </c>
      <c r="D478" s="4">
        <v>152.08000000000001</v>
      </c>
    </row>
    <row r="479" spans="1:4" x14ac:dyDescent="0.3">
      <c r="A479" s="2">
        <v>46142</v>
      </c>
      <c r="B479" s="3" t="s">
        <v>6</v>
      </c>
      <c r="C479" s="3" t="s">
        <v>7</v>
      </c>
      <c r="D479" s="4">
        <v>53.85</v>
      </c>
    </row>
    <row r="480" spans="1:4" x14ac:dyDescent="0.3">
      <c r="A480" s="2">
        <v>46142</v>
      </c>
      <c r="B480" s="3" t="s">
        <v>8</v>
      </c>
      <c r="C480" s="3" t="s">
        <v>7</v>
      </c>
      <c r="D480" s="4">
        <v>43.56</v>
      </c>
    </row>
    <row r="481" spans="1:4" x14ac:dyDescent="0.3">
      <c r="A481" s="2">
        <v>46143</v>
      </c>
      <c r="B481" s="3" t="s">
        <v>4</v>
      </c>
      <c r="C481" s="3" t="s">
        <v>5</v>
      </c>
      <c r="D481" s="4">
        <v>3000</v>
      </c>
    </row>
    <row r="482" spans="1:4" x14ac:dyDescent="0.3">
      <c r="A482" s="2">
        <v>46143</v>
      </c>
      <c r="B482" s="3" t="s">
        <v>6</v>
      </c>
      <c r="C482" s="3" t="s">
        <v>7</v>
      </c>
      <c r="D482" s="4">
        <v>72.97</v>
      </c>
    </row>
    <row r="483" spans="1:4" x14ac:dyDescent="0.3">
      <c r="A483" s="2">
        <v>46143</v>
      </c>
      <c r="B483" s="3" t="s">
        <v>8</v>
      </c>
      <c r="C483" s="3" t="s">
        <v>7</v>
      </c>
      <c r="D483" s="4">
        <v>49.8</v>
      </c>
    </row>
    <row r="484" spans="1:4" x14ac:dyDescent="0.3">
      <c r="A484" s="2">
        <v>46143</v>
      </c>
      <c r="B484" s="3" t="s">
        <v>12</v>
      </c>
      <c r="C484" s="3" t="s">
        <v>11</v>
      </c>
      <c r="D484" s="4">
        <v>473.51</v>
      </c>
    </row>
    <row r="485" spans="1:4" x14ac:dyDescent="0.3">
      <c r="A485" s="2">
        <v>46143</v>
      </c>
      <c r="B485" s="3" t="s">
        <v>9</v>
      </c>
      <c r="C485" s="3" t="s">
        <v>7</v>
      </c>
      <c r="D485" s="4">
        <v>152.22</v>
      </c>
    </row>
    <row r="486" spans="1:4" x14ac:dyDescent="0.3">
      <c r="A486" s="2">
        <v>46146</v>
      </c>
      <c r="B486" s="3" t="s">
        <v>8</v>
      </c>
      <c r="C486" s="3" t="s">
        <v>7</v>
      </c>
      <c r="D486" s="4">
        <v>22.62</v>
      </c>
    </row>
    <row r="487" spans="1:4" x14ac:dyDescent="0.3">
      <c r="A487" s="2">
        <v>46147</v>
      </c>
      <c r="B487" s="3" t="s">
        <v>6</v>
      </c>
      <c r="C487" s="3" t="s">
        <v>7</v>
      </c>
      <c r="D487" s="4">
        <v>51.52</v>
      </c>
    </row>
    <row r="488" spans="1:4" x14ac:dyDescent="0.3">
      <c r="A488" s="2">
        <v>46147</v>
      </c>
      <c r="B488" s="3" t="s">
        <v>8</v>
      </c>
      <c r="C488" s="3" t="s">
        <v>7</v>
      </c>
      <c r="D488" s="4">
        <v>39.119999999999997</v>
      </c>
    </row>
    <row r="489" spans="1:4" x14ac:dyDescent="0.3">
      <c r="A489" s="2">
        <v>46147</v>
      </c>
      <c r="B489" s="3" t="s">
        <v>13</v>
      </c>
      <c r="C489" s="3" t="s">
        <v>7</v>
      </c>
      <c r="D489" s="4">
        <v>269.23</v>
      </c>
    </row>
    <row r="490" spans="1:4" x14ac:dyDescent="0.3">
      <c r="A490" s="2">
        <v>46148</v>
      </c>
      <c r="B490" s="3" t="s">
        <v>6</v>
      </c>
      <c r="C490" s="3" t="s">
        <v>7</v>
      </c>
      <c r="D490" s="4">
        <v>112.49</v>
      </c>
    </row>
    <row r="491" spans="1:4" x14ac:dyDescent="0.3">
      <c r="A491" s="2">
        <v>46148</v>
      </c>
      <c r="B491" s="3" t="s">
        <v>14</v>
      </c>
      <c r="C491" s="3" t="s">
        <v>11</v>
      </c>
      <c r="D491" s="4">
        <v>211.9</v>
      </c>
    </row>
    <row r="492" spans="1:4" x14ac:dyDescent="0.3">
      <c r="A492" s="2">
        <v>46149</v>
      </c>
      <c r="B492" s="3" t="s">
        <v>6</v>
      </c>
      <c r="C492" s="3" t="s">
        <v>7</v>
      </c>
      <c r="D492" s="4">
        <v>63.74</v>
      </c>
    </row>
    <row r="493" spans="1:4" x14ac:dyDescent="0.3">
      <c r="A493" s="2">
        <v>46149</v>
      </c>
      <c r="B493" s="3" t="s">
        <v>8</v>
      </c>
      <c r="C493" s="3" t="s">
        <v>7</v>
      </c>
      <c r="D493" s="4">
        <v>17.79</v>
      </c>
    </row>
    <row r="494" spans="1:4" x14ac:dyDescent="0.3">
      <c r="A494" s="2">
        <v>46149</v>
      </c>
      <c r="B494" s="3" t="s">
        <v>9</v>
      </c>
      <c r="C494" s="3" t="s">
        <v>7</v>
      </c>
      <c r="D494" s="4">
        <v>235.14</v>
      </c>
    </row>
    <row r="495" spans="1:4" x14ac:dyDescent="0.3">
      <c r="A495" s="2">
        <v>46150</v>
      </c>
      <c r="B495" s="3" t="s">
        <v>6</v>
      </c>
      <c r="C495" s="3" t="s">
        <v>7</v>
      </c>
      <c r="D495" s="4">
        <v>64.48</v>
      </c>
    </row>
    <row r="496" spans="1:4" x14ac:dyDescent="0.3">
      <c r="A496" s="2">
        <v>46150</v>
      </c>
      <c r="B496" s="3" t="s">
        <v>14</v>
      </c>
      <c r="C496" s="3" t="s">
        <v>11</v>
      </c>
      <c r="D496" s="4">
        <v>150.78</v>
      </c>
    </row>
    <row r="497" spans="1:4" x14ac:dyDescent="0.3">
      <c r="A497" s="2">
        <v>46151</v>
      </c>
      <c r="B497" s="3" t="s">
        <v>6</v>
      </c>
      <c r="C497" s="3" t="s">
        <v>7</v>
      </c>
      <c r="D497" s="4">
        <v>89.86</v>
      </c>
    </row>
    <row r="498" spans="1:4" x14ac:dyDescent="0.3">
      <c r="A498" s="2">
        <v>46151</v>
      </c>
      <c r="B498" s="3" t="s">
        <v>9</v>
      </c>
      <c r="C498" s="3" t="s">
        <v>7</v>
      </c>
      <c r="D498" s="4">
        <v>215.05</v>
      </c>
    </row>
    <row r="499" spans="1:4" x14ac:dyDescent="0.3">
      <c r="A499" s="2">
        <v>46152</v>
      </c>
      <c r="B499" s="3" t="s">
        <v>6</v>
      </c>
      <c r="C499" s="3" t="s">
        <v>7</v>
      </c>
      <c r="D499" s="4">
        <v>54.06</v>
      </c>
    </row>
    <row r="500" spans="1:4" x14ac:dyDescent="0.3">
      <c r="A500" s="2">
        <v>46153</v>
      </c>
      <c r="B500" s="3" t="s">
        <v>6</v>
      </c>
      <c r="C500" s="3" t="s">
        <v>7</v>
      </c>
      <c r="D500" s="4">
        <v>114.82</v>
      </c>
    </row>
    <row r="501" spans="1:4" x14ac:dyDescent="0.3">
      <c r="A501" s="2">
        <v>46154</v>
      </c>
      <c r="B501" s="3" t="s">
        <v>6</v>
      </c>
      <c r="C501" s="3" t="s">
        <v>7</v>
      </c>
      <c r="D501" s="4">
        <v>75.099999999999994</v>
      </c>
    </row>
    <row r="502" spans="1:4" x14ac:dyDescent="0.3">
      <c r="A502" s="2">
        <v>46155</v>
      </c>
      <c r="B502" s="3" t="s">
        <v>10</v>
      </c>
      <c r="C502" s="3" t="s">
        <v>11</v>
      </c>
      <c r="D502" s="4">
        <v>221.43</v>
      </c>
    </row>
    <row r="503" spans="1:4" x14ac:dyDescent="0.3">
      <c r="A503" s="2">
        <v>46156</v>
      </c>
      <c r="B503" s="3" t="s">
        <v>6</v>
      </c>
      <c r="C503" s="3" t="s">
        <v>7</v>
      </c>
      <c r="D503" s="4">
        <v>93.11</v>
      </c>
    </row>
    <row r="504" spans="1:4" x14ac:dyDescent="0.3">
      <c r="A504" s="2">
        <v>46156</v>
      </c>
      <c r="B504" s="3" t="s">
        <v>12</v>
      </c>
      <c r="C504" s="3" t="s">
        <v>11</v>
      </c>
      <c r="D504" s="4">
        <v>389.83</v>
      </c>
    </row>
    <row r="505" spans="1:4" x14ac:dyDescent="0.3">
      <c r="A505" s="2">
        <v>46156</v>
      </c>
      <c r="B505" s="3" t="s">
        <v>9</v>
      </c>
      <c r="C505" s="3" t="s">
        <v>7</v>
      </c>
      <c r="D505" s="4">
        <v>117.12</v>
      </c>
    </row>
    <row r="506" spans="1:4" x14ac:dyDescent="0.3">
      <c r="A506" s="2">
        <v>46157</v>
      </c>
      <c r="B506" s="3" t="s">
        <v>14</v>
      </c>
      <c r="C506" s="3" t="s">
        <v>11</v>
      </c>
      <c r="D506" s="4">
        <v>202.34</v>
      </c>
    </row>
    <row r="507" spans="1:4" x14ac:dyDescent="0.3">
      <c r="A507" s="2">
        <v>46158</v>
      </c>
      <c r="B507" s="3" t="s">
        <v>8</v>
      </c>
      <c r="C507" s="3" t="s">
        <v>7</v>
      </c>
      <c r="D507" s="4">
        <v>48.57</v>
      </c>
    </row>
    <row r="508" spans="1:4" x14ac:dyDescent="0.3">
      <c r="A508" s="2">
        <v>46158</v>
      </c>
      <c r="B508" s="3" t="s">
        <v>14</v>
      </c>
      <c r="C508" s="3" t="s">
        <v>11</v>
      </c>
      <c r="D508" s="4">
        <v>237.43</v>
      </c>
    </row>
    <row r="509" spans="1:4" x14ac:dyDescent="0.3">
      <c r="A509" s="2">
        <v>46158</v>
      </c>
      <c r="B509" s="3" t="s">
        <v>9</v>
      </c>
      <c r="C509" s="3" t="s">
        <v>7</v>
      </c>
      <c r="D509" s="4">
        <v>299.89</v>
      </c>
    </row>
    <row r="510" spans="1:4" x14ac:dyDescent="0.3">
      <c r="A510" s="2">
        <v>46159</v>
      </c>
      <c r="B510" s="3" t="s">
        <v>6</v>
      </c>
      <c r="C510" s="3" t="s">
        <v>7</v>
      </c>
      <c r="D510" s="4">
        <v>90.29</v>
      </c>
    </row>
    <row r="511" spans="1:4" x14ac:dyDescent="0.3">
      <c r="A511" s="2">
        <v>46159</v>
      </c>
      <c r="B511" s="3" t="s">
        <v>8</v>
      </c>
      <c r="C511" s="3" t="s">
        <v>7</v>
      </c>
      <c r="D511" s="4">
        <v>47.17</v>
      </c>
    </row>
    <row r="512" spans="1:4" x14ac:dyDescent="0.3">
      <c r="A512" s="2">
        <v>46160</v>
      </c>
      <c r="B512" s="3" t="s">
        <v>6</v>
      </c>
      <c r="C512" s="3" t="s">
        <v>7</v>
      </c>
      <c r="D512" s="4">
        <v>67.44</v>
      </c>
    </row>
    <row r="513" spans="1:4" x14ac:dyDescent="0.3">
      <c r="A513" s="2">
        <v>46160</v>
      </c>
      <c r="B513" s="3" t="s">
        <v>8</v>
      </c>
      <c r="C513" s="3" t="s">
        <v>7</v>
      </c>
      <c r="D513" s="4">
        <v>33.24</v>
      </c>
    </row>
    <row r="514" spans="1:4" x14ac:dyDescent="0.3">
      <c r="A514" s="2">
        <v>46160</v>
      </c>
      <c r="B514" s="3" t="s">
        <v>14</v>
      </c>
      <c r="C514" s="3" t="s">
        <v>11</v>
      </c>
      <c r="D514" s="4">
        <v>246.26</v>
      </c>
    </row>
    <row r="515" spans="1:4" x14ac:dyDescent="0.3">
      <c r="A515" s="2">
        <v>46161</v>
      </c>
      <c r="B515" s="3" t="s">
        <v>6</v>
      </c>
      <c r="C515" s="3" t="s">
        <v>7</v>
      </c>
      <c r="D515" s="4">
        <v>77.599999999999994</v>
      </c>
    </row>
    <row r="516" spans="1:4" x14ac:dyDescent="0.3">
      <c r="A516" s="2">
        <v>46161</v>
      </c>
      <c r="B516" s="3" t="s">
        <v>14</v>
      </c>
      <c r="C516" s="3" t="s">
        <v>11</v>
      </c>
      <c r="D516" s="4">
        <v>79.180000000000007</v>
      </c>
    </row>
    <row r="517" spans="1:4" x14ac:dyDescent="0.3">
      <c r="A517" s="2">
        <v>46162</v>
      </c>
      <c r="B517" s="3" t="s">
        <v>6</v>
      </c>
      <c r="C517" s="3" t="s">
        <v>7</v>
      </c>
      <c r="D517" s="4">
        <v>60.16</v>
      </c>
    </row>
    <row r="518" spans="1:4" x14ac:dyDescent="0.3">
      <c r="A518" s="2">
        <v>46162</v>
      </c>
      <c r="B518" s="3" t="s">
        <v>8</v>
      </c>
      <c r="C518" s="3" t="s">
        <v>7</v>
      </c>
      <c r="D518" s="4">
        <v>29.33</v>
      </c>
    </row>
    <row r="519" spans="1:4" x14ac:dyDescent="0.3">
      <c r="A519" s="2">
        <v>46163</v>
      </c>
      <c r="B519" s="3" t="s">
        <v>6</v>
      </c>
      <c r="C519" s="3" t="s">
        <v>7</v>
      </c>
      <c r="D519" s="4">
        <v>104.77</v>
      </c>
    </row>
    <row r="520" spans="1:4" x14ac:dyDescent="0.3">
      <c r="A520" s="2">
        <v>46163</v>
      </c>
      <c r="B520" s="3" t="s">
        <v>9</v>
      </c>
      <c r="C520" s="3" t="s">
        <v>7</v>
      </c>
      <c r="D520" s="4">
        <v>248.74</v>
      </c>
    </row>
    <row r="521" spans="1:4" x14ac:dyDescent="0.3">
      <c r="A521" s="2">
        <v>46164</v>
      </c>
      <c r="B521" s="3" t="s">
        <v>8</v>
      </c>
      <c r="C521" s="3" t="s">
        <v>7</v>
      </c>
      <c r="D521" s="4">
        <v>47.23</v>
      </c>
    </row>
    <row r="522" spans="1:4" x14ac:dyDescent="0.3">
      <c r="A522" s="2">
        <v>46164</v>
      </c>
      <c r="B522" s="3" t="s">
        <v>9</v>
      </c>
      <c r="C522" s="3" t="s">
        <v>7</v>
      </c>
      <c r="D522" s="4">
        <v>58.46</v>
      </c>
    </row>
    <row r="523" spans="1:4" x14ac:dyDescent="0.3">
      <c r="A523" s="2">
        <v>46166</v>
      </c>
      <c r="B523" s="3" t="s">
        <v>8</v>
      </c>
      <c r="C523" s="3" t="s">
        <v>7</v>
      </c>
      <c r="D523" s="4">
        <v>33.520000000000003</v>
      </c>
    </row>
    <row r="524" spans="1:4" x14ac:dyDescent="0.3">
      <c r="A524" s="2">
        <v>46167</v>
      </c>
      <c r="B524" s="3" t="s">
        <v>6</v>
      </c>
      <c r="C524" s="3" t="s">
        <v>7</v>
      </c>
      <c r="D524" s="4">
        <v>82.52</v>
      </c>
    </row>
    <row r="525" spans="1:4" x14ac:dyDescent="0.3">
      <c r="A525" s="2">
        <v>46167</v>
      </c>
      <c r="B525" s="3" t="s">
        <v>8</v>
      </c>
      <c r="C525" s="3" t="s">
        <v>7</v>
      </c>
      <c r="D525" s="4">
        <v>35.049999999999997</v>
      </c>
    </row>
    <row r="526" spans="1:4" x14ac:dyDescent="0.3">
      <c r="A526" s="2">
        <v>46167</v>
      </c>
      <c r="B526" s="3" t="s">
        <v>14</v>
      </c>
      <c r="C526" s="3" t="s">
        <v>11</v>
      </c>
      <c r="D526" s="4">
        <v>155.88</v>
      </c>
    </row>
    <row r="527" spans="1:4" x14ac:dyDescent="0.3">
      <c r="A527" s="2">
        <v>46167</v>
      </c>
      <c r="B527" s="3" t="s">
        <v>10</v>
      </c>
      <c r="C527" s="3" t="s">
        <v>11</v>
      </c>
      <c r="D527" s="4">
        <v>506.58</v>
      </c>
    </row>
    <row r="528" spans="1:4" x14ac:dyDescent="0.3">
      <c r="A528" s="2">
        <v>46168</v>
      </c>
      <c r="B528" s="3" t="s">
        <v>12</v>
      </c>
      <c r="C528" s="3" t="s">
        <v>11</v>
      </c>
      <c r="D528" s="4">
        <v>138.53</v>
      </c>
    </row>
    <row r="529" spans="1:4" x14ac:dyDescent="0.3">
      <c r="A529" s="2">
        <v>46168</v>
      </c>
      <c r="B529" s="3" t="s">
        <v>9</v>
      </c>
      <c r="C529" s="3" t="s">
        <v>7</v>
      </c>
      <c r="D529" s="4">
        <v>97.98</v>
      </c>
    </row>
    <row r="530" spans="1:4" x14ac:dyDescent="0.3">
      <c r="A530" s="2">
        <v>46169</v>
      </c>
      <c r="B530" s="3" t="s">
        <v>8</v>
      </c>
      <c r="C530" s="3" t="s">
        <v>7</v>
      </c>
      <c r="D530" s="4">
        <v>29.9</v>
      </c>
    </row>
    <row r="531" spans="1:4" x14ac:dyDescent="0.3">
      <c r="A531" s="2">
        <v>46170</v>
      </c>
      <c r="B531" s="3" t="s">
        <v>6</v>
      </c>
      <c r="C531" s="3" t="s">
        <v>7</v>
      </c>
      <c r="D531" s="4">
        <v>95.6</v>
      </c>
    </row>
    <row r="532" spans="1:4" x14ac:dyDescent="0.3">
      <c r="A532" s="2">
        <v>46170</v>
      </c>
      <c r="B532" s="3" t="s">
        <v>10</v>
      </c>
      <c r="C532" s="3" t="s">
        <v>11</v>
      </c>
      <c r="D532" s="4">
        <v>289.63</v>
      </c>
    </row>
    <row r="533" spans="1:4" x14ac:dyDescent="0.3">
      <c r="A533" s="2">
        <v>46171</v>
      </c>
      <c r="B533" s="3" t="s">
        <v>8</v>
      </c>
      <c r="C533" s="3" t="s">
        <v>7</v>
      </c>
      <c r="D533" s="4">
        <v>16.98</v>
      </c>
    </row>
    <row r="534" spans="1:4" x14ac:dyDescent="0.3">
      <c r="A534" s="2">
        <v>46171</v>
      </c>
      <c r="B534" s="3" t="s">
        <v>14</v>
      </c>
      <c r="C534" s="3" t="s">
        <v>11</v>
      </c>
      <c r="D534" s="4">
        <v>149.97</v>
      </c>
    </row>
    <row r="535" spans="1:4" x14ac:dyDescent="0.3">
      <c r="A535" s="2">
        <v>46172</v>
      </c>
      <c r="B535" s="3" t="s">
        <v>8</v>
      </c>
      <c r="C535" s="3" t="s">
        <v>7</v>
      </c>
      <c r="D535" s="4">
        <v>34.270000000000003</v>
      </c>
    </row>
    <row r="536" spans="1:4" x14ac:dyDescent="0.3">
      <c r="A536" s="2">
        <v>46172</v>
      </c>
      <c r="B536" s="3" t="s">
        <v>14</v>
      </c>
      <c r="C536" s="3" t="s">
        <v>11</v>
      </c>
      <c r="D536" s="4">
        <v>92.28</v>
      </c>
    </row>
    <row r="537" spans="1:4" x14ac:dyDescent="0.3">
      <c r="A537" s="2">
        <v>46173</v>
      </c>
      <c r="B537" s="3" t="s">
        <v>6</v>
      </c>
      <c r="C537" s="3" t="s">
        <v>7</v>
      </c>
      <c r="D537" s="4">
        <v>54.96</v>
      </c>
    </row>
    <row r="538" spans="1:4" x14ac:dyDescent="0.3">
      <c r="A538" s="2">
        <v>46173</v>
      </c>
      <c r="B538" s="3" t="s">
        <v>9</v>
      </c>
      <c r="C538" s="3" t="s">
        <v>7</v>
      </c>
      <c r="D538" s="4">
        <v>282.19</v>
      </c>
    </row>
    <row r="539" spans="1:4" x14ac:dyDescent="0.3">
      <c r="A539" s="2">
        <v>46174</v>
      </c>
      <c r="B539" s="3" t="s">
        <v>4</v>
      </c>
      <c r="C539" s="3" t="s">
        <v>5</v>
      </c>
      <c r="D539" s="4">
        <v>3000</v>
      </c>
    </row>
    <row r="540" spans="1:4" x14ac:dyDescent="0.3">
      <c r="A540" s="2">
        <v>46174</v>
      </c>
      <c r="B540" s="3" t="s">
        <v>9</v>
      </c>
      <c r="C540" s="3" t="s">
        <v>7</v>
      </c>
      <c r="D540" s="4">
        <v>90.61</v>
      </c>
    </row>
    <row r="541" spans="1:4" x14ac:dyDescent="0.3">
      <c r="A541" s="2">
        <v>46175</v>
      </c>
      <c r="B541" s="3" t="s">
        <v>8</v>
      </c>
      <c r="C541" s="3" t="s">
        <v>7</v>
      </c>
      <c r="D541" s="4">
        <v>46.55</v>
      </c>
    </row>
    <row r="542" spans="1:4" x14ac:dyDescent="0.3">
      <c r="A542" s="2">
        <v>46175</v>
      </c>
      <c r="B542" s="3" t="s">
        <v>9</v>
      </c>
      <c r="C542" s="3" t="s">
        <v>7</v>
      </c>
      <c r="D542" s="4">
        <v>297.12</v>
      </c>
    </row>
    <row r="543" spans="1:4" x14ac:dyDescent="0.3">
      <c r="A543" s="2">
        <v>46176</v>
      </c>
      <c r="B543" s="3" t="s">
        <v>6</v>
      </c>
      <c r="C543" s="3" t="s">
        <v>7</v>
      </c>
      <c r="D543" s="4">
        <v>114.95</v>
      </c>
    </row>
    <row r="544" spans="1:4" x14ac:dyDescent="0.3">
      <c r="A544" s="2">
        <v>46176</v>
      </c>
      <c r="B544" s="3" t="s">
        <v>8</v>
      </c>
      <c r="C544" s="3" t="s">
        <v>7</v>
      </c>
      <c r="D544" s="4">
        <v>31.24</v>
      </c>
    </row>
    <row r="545" spans="1:4" x14ac:dyDescent="0.3">
      <c r="A545" s="2">
        <v>46177</v>
      </c>
      <c r="B545" s="3" t="s">
        <v>6</v>
      </c>
      <c r="C545" s="3" t="s">
        <v>7</v>
      </c>
      <c r="D545" s="4">
        <v>101.57</v>
      </c>
    </row>
    <row r="546" spans="1:4" x14ac:dyDescent="0.3">
      <c r="A546" s="2">
        <v>46177</v>
      </c>
      <c r="B546" s="3" t="s">
        <v>8</v>
      </c>
      <c r="C546" s="3" t="s">
        <v>7</v>
      </c>
      <c r="D546" s="4">
        <v>25.78</v>
      </c>
    </row>
    <row r="547" spans="1:4" x14ac:dyDescent="0.3">
      <c r="A547" s="2">
        <v>46178</v>
      </c>
      <c r="B547" s="3" t="s">
        <v>6</v>
      </c>
      <c r="C547" s="3" t="s">
        <v>7</v>
      </c>
      <c r="D547" s="4">
        <v>95.31</v>
      </c>
    </row>
    <row r="548" spans="1:4" x14ac:dyDescent="0.3">
      <c r="A548" s="2">
        <v>46178</v>
      </c>
      <c r="B548" s="3" t="s">
        <v>14</v>
      </c>
      <c r="C548" s="3" t="s">
        <v>11</v>
      </c>
      <c r="D548" s="4">
        <v>173.72</v>
      </c>
    </row>
    <row r="549" spans="1:4" x14ac:dyDescent="0.3">
      <c r="A549" s="2">
        <v>46178</v>
      </c>
      <c r="B549" s="3" t="s">
        <v>10</v>
      </c>
      <c r="C549" s="3" t="s">
        <v>11</v>
      </c>
      <c r="D549" s="4">
        <v>177.11</v>
      </c>
    </row>
    <row r="550" spans="1:4" x14ac:dyDescent="0.3">
      <c r="A550" s="2">
        <v>46178</v>
      </c>
      <c r="B550" s="3" t="s">
        <v>13</v>
      </c>
      <c r="C550" s="3" t="s">
        <v>7</v>
      </c>
      <c r="D550" s="4">
        <v>342.34</v>
      </c>
    </row>
    <row r="551" spans="1:4" x14ac:dyDescent="0.3">
      <c r="A551" s="2">
        <v>46179</v>
      </c>
      <c r="B551" s="3" t="s">
        <v>12</v>
      </c>
      <c r="C551" s="3" t="s">
        <v>11</v>
      </c>
      <c r="D551" s="4">
        <v>102.08</v>
      </c>
    </row>
    <row r="552" spans="1:4" x14ac:dyDescent="0.3">
      <c r="A552" s="2">
        <v>46180</v>
      </c>
      <c r="B552" s="3" t="s">
        <v>6</v>
      </c>
      <c r="C552" s="3" t="s">
        <v>7</v>
      </c>
      <c r="D552" s="4">
        <v>58.83</v>
      </c>
    </row>
    <row r="553" spans="1:4" x14ac:dyDescent="0.3">
      <c r="A553" s="2">
        <v>46180</v>
      </c>
      <c r="B553" s="3" t="s">
        <v>8</v>
      </c>
      <c r="C553" s="3" t="s">
        <v>7</v>
      </c>
      <c r="D553" s="4">
        <v>31.63</v>
      </c>
    </row>
    <row r="554" spans="1:4" x14ac:dyDescent="0.3">
      <c r="A554" s="2">
        <v>46180</v>
      </c>
      <c r="B554" s="3" t="s">
        <v>9</v>
      </c>
      <c r="C554" s="3" t="s">
        <v>7</v>
      </c>
      <c r="D554" s="4">
        <v>138.47999999999999</v>
      </c>
    </row>
    <row r="555" spans="1:4" x14ac:dyDescent="0.3">
      <c r="A555" s="2">
        <v>46180</v>
      </c>
      <c r="B555" s="3" t="s">
        <v>10</v>
      </c>
      <c r="C555" s="3" t="s">
        <v>11</v>
      </c>
      <c r="D555" s="4">
        <v>399.02</v>
      </c>
    </row>
    <row r="556" spans="1:4" x14ac:dyDescent="0.3">
      <c r="A556" s="2">
        <v>46181</v>
      </c>
      <c r="B556" s="3" t="s">
        <v>6</v>
      </c>
      <c r="C556" s="3" t="s">
        <v>7</v>
      </c>
      <c r="D556" s="4">
        <v>75.680000000000007</v>
      </c>
    </row>
    <row r="557" spans="1:4" x14ac:dyDescent="0.3">
      <c r="A557" s="2">
        <v>46181</v>
      </c>
      <c r="B557" s="3" t="s">
        <v>8</v>
      </c>
      <c r="C557" s="3" t="s">
        <v>7</v>
      </c>
      <c r="D557" s="4">
        <v>29.59</v>
      </c>
    </row>
    <row r="558" spans="1:4" x14ac:dyDescent="0.3">
      <c r="A558" s="2">
        <v>46181</v>
      </c>
      <c r="B558" s="3" t="s">
        <v>14</v>
      </c>
      <c r="C558" s="3" t="s">
        <v>11</v>
      </c>
      <c r="D558" s="4">
        <v>230.23</v>
      </c>
    </row>
    <row r="559" spans="1:4" x14ac:dyDescent="0.3">
      <c r="A559" s="2">
        <v>46182</v>
      </c>
      <c r="B559" s="3" t="s">
        <v>6</v>
      </c>
      <c r="C559" s="3" t="s">
        <v>7</v>
      </c>
      <c r="D559" s="4">
        <v>75.38</v>
      </c>
    </row>
    <row r="560" spans="1:4" x14ac:dyDescent="0.3">
      <c r="A560" s="2">
        <v>46182</v>
      </c>
      <c r="B560" s="3" t="s">
        <v>8</v>
      </c>
      <c r="C560" s="3" t="s">
        <v>7</v>
      </c>
      <c r="D560" s="4">
        <v>26.7</v>
      </c>
    </row>
    <row r="561" spans="1:4" x14ac:dyDescent="0.3">
      <c r="A561" s="2">
        <v>46182</v>
      </c>
      <c r="B561" s="3" t="s">
        <v>12</v>
      </c>
      <c r="C561" s="3" t="s">
        <v>11</v>
      </c>
      <c r="D561" s="4">
        <v>273.87</v>
      </c>
    </row>
    <row r="562" spans="1:4" x14ac:dyDescent="0.3">
      <c r="A562" s="2">
        <v>46183</v>
      </c>
      <c r="B562" s="3" t="s">
        <v>6</v>
      </c>
      <c r="C562" s="3" t="s">
        <v>7</v>
      </c>
      <c r="D562" s="4">
        <v>66.78</v>
      </c>
    </row>
    <row r="563" spans="1:4" x14ac:dyDescent="0.3">
      <c r="A563" s="2">
        <v>46183</v>
      </c>
      <c r="B563" s="3" t="s">
        <v>8</v>
      </c>
      <c r="C563" s="3" t="s">
        <v>7</v>
      </c>
      <c r="D563" s="4">
        <v>37.5</v>
      </c>
    </row>
    <row r="564" spans="1:4" x14ac:dyDescent="0.3">
      <c r="A564" s="2">
        <v>46183</v>
      </c>
      <c r="B564" s="3" t="s">
        <v>12</v>
      </c>
      <c r="C564" s="3" t="s">
        <v>11</v>
      </c>
      <c r="D564" s="4">
        <v>142.79</v>
      </c>
    </row>
    <row r="565" spans="1:4" x14ac:dyDescent="0.3">
      <c r="A565" s="2">
        <v>46184</v>
      </c>
      <c r="B565" s="3" t="s">
        <v>6</v>
      </c>
      <c r="C565" s="3" t="s">
        <v>7</v>
      </c>
      <c r="D565" s="4">
        <v>91.35</v>
      </c>
    </row>
    <row r="566" spans="1:4" x14ac:dyDescent="0.3">
      <c r="A566" s="2">
        <v>46185</v>
      </c>
      <c r="B566" s="3" t="s">
        <v>8</v>
      </c>
      <c r="C566" s="3" t="s">
        <v>7</v>
      </c>
      <c r="D566" s="4">
        <v>27.36</v>
      </c>
    </row>
    <row r="567" spans="1:4" x14ac:dyDescent="0.3">
      <c r="A567" s="2">
        <v>46185</v>
      </c>
      <c r="B567" s="3" t="s">
        <v>12</v>
      </c>
      <c r="C567" s="3" t="s">
        <v>11</v>
      </c>
      <c r="D567" s="4">
        <v>225.67</v>
      </c>
    </row>
    <row r="568" spans="1:4" x14ac:dyDescent="0.3">
      <c r="A568" s="2">
        <v>46186</v>
      </c>
      <c r="B568" s="3" t="s">
        <v>6</v>
      </c>
      <c r="C568" s="3" t="s">
        <v>7</v>
      </c>
      <c r="D568" s="4">
        <v>96.33</v>
      </c>
    </row>
    <row r="569" spans="1:4" x14ac:dyDescent="0.3">
      <c r="A569" s="2">
        <v>46186</v>
      </c>
      <c r="B569" s="3" t="s">
        <v>8</v>
      </c>
      <c r="C569" s="3" t="s">
        <v>7</v>
      </c>
      <c r="D569" s="4">
        <v>35.86</v>
      </c>
    </row>
    <row r="570" spans="1:4" x14ac:dyDescent="0.3">
      <c r="A570" s="2">
        <v>46186</v>
      </c>
      <c r="B570" s="3" t="s">
        <v>14</v>
      </c>
      <c r="C570" s="3" t="s">
        <v>11</v>
      </c>
      <c r="D570" s="4">
        <v>125.21</v>
      </c>
    </row>
    <row r="571" spans="1:4" x14ac:dyDescent="0.3">
      <c r="A571" s="2">
        <v>46186</v>
      </c>
      <c r="B571" s="3" t="s">
        <v>10</v>
      </c>
      <c r="C571" s="3" t="s">
        <v>11</v>
      </c>
      <c r="D571" s="4">
        <v>381.93</v>
      </c>
    </row>
    <row r="572" spans="1:4" x14ac:dyDescent="0.3">
      <c r="A572" s="2">
        <v>46187</v>
      </c>
      <c r="B572" s="3" t="s">
        <v>8</v>
      </c>
      <c r="C572" s="3" t="s">
        <v>7</v>
      </c>
      <c r="D572" s="4">
        <v>39.39</v>
      </c>
    </row>
    <row r="573" spans="1:4" x14ac:dyDescent="0.3">
      <c r="A573" s="2">
        <v>46188</v>
      </c>
      <c r="B573" s="3" t="s">
        <v>6</v>
      </c>
      <c r="C573" s="3" t="s">
        <v>7</v>
      </c>
      <c r="D573" s="4">
        <v>69.42</v>
      </c>
    </row>
    <row r="574" spans="1:4" x14ac:dyDescent="0.3">
      <c r="A574" s="2">
        <v>46189</v>
      </c>
      <c r="B574" s="3" t="s">
        <v>8</v>
      </c>
      <c r="C574" s="3" t="s">
        <v>7</v>
      </c>
      <c r="D574" s="4">
        <v>38.619999999999997</v>
      </c>
    </row>
    <row r="575" spans="1:4" x14ac:dyDescent="0.3">
      <c r="A575" s="2">
        <v>46189</v>
      </c>
      <c r="B575" s="3" t="s">
        <v>9</v>
      </c>
      <c r="C575" s="3" t="s">
        <v>7</v>
      </c>
      <c r="D575" s="4">
        <v>297.68</v>
      </c>
    </row>
    <row r="576" spans="1:4" x14ac:dyDescent="0.3">
      <c r="A576" s="2">
        <v>46190</v>
      </c>
      <c r="B576" s="3" t="s">
        <v>6</v>
      </c>
      <c r="C576" s="3" t="s">
        <v>7</v>
      </c>
      <c r="D576" s="4">
        <v>83.77</v>
      </c>
    </row>
    <row r="577" spans="1:4" x14ac:dyDescent="0.3">
      <c r="A577" s="2">
        <v>46191</v>
      </c>
      <c r="B577" s="3" t="s">
        <v>8</v>
      </c>
      <c r="C577" s="3" t="s">
        <v>7</v>
      </c>
      <c r="D577" s="4">
        <v>37.94</v>
      </c>
    </row>
    <row r="578" spans="1:4" x14ac:dyDescent="0.3">
      <c r="A578" s="2">
        <v>46191</v>
      </c>
      <c r="B578" s="3" t="s">
        <v>14</v>
      </c>
      <c r="C578" s="3" t="s">
        <v>11</v>
      </c>
      <c r="D578" s="4">
        <v>203.79</v>
      </c>
    </row>
    <row r="579" spans="1:4" x14ac:dyDescent="0.3">
      <c r="A579" s="2">
        <v>46192</v>
      </c>
      <c r="B579" s="3" t="s">
        <v>6</v>
      </c>
      <c r="C579" s="3" t="s">
        <v>7</v>
      </c>
      <c r="D579" s="4">
        <v>115.57</v>
      </c>
    </row>
    <row r="580" spans="1:4" x14ac:dyDescent="0.3">
      <c r="A580" s="2">
        <v>46193</v>
      </c>
      <c r="B580" s="3" t="s">
        <v>6</v>
      </c>
      <c r="C580" s="3" t="s">
        <v>7</v>
      </c>
      <c r="D580" s="4">
        <v>67.25</v>
      </c>
    </row>
    <row r="581" spans="1:4" x14ac:dyDescent="0.3">
      <c r="A581" s="2">
        <v>46193</v>
      </c>
      <c r="B581" s="3" t="s">
        <v>8</v>
      </c>
      <c r="C581" s="3" t="s">
        <v>7</v>
      </c>
      <c r="D581" s="4">
        <v>33.96</v>
      </c>
    </row>
    <row r="582" spans="1:4" x14ac:dyDescent="0.3">
      <c r="A582" s="2">
        <v>46194</v>
      </c>
      <c r="B582" s="3" t="s">
        <v>9</v>
      </c>
      <c r="C582" s="3" t="s">
        <v>7</v>
      </c>
      <c r="D582" s="4">
        <v>76.14</v>
      </c>
    </row>
    <row r="583" spans="1:4" x14ac:dyDescent="0.3">
      <c r="A583" s="2">
        <v>46195</v>
      </c>
      <c r="B583" s="3" t="s">
        <v>8</v>
      </c>
      <c r="C583" s="3" t="s">
        <v>7</v>
      </c>
      <c r="D583" s="4">
        <v>48.02</v>
      </c>
    </row>
    <row r="584" spans="1:4" x14ac:dyDescent="0.3">
      <c r="A584" s="2">
        <v>46195</v>
      </c>
      <c r="B584" s="3" t="s">
        <v>14</v>
      </c>
      <c r="C584" s="3" t="s">
        <v>11</v>
      </c>
      <c r="D584" s="4">
        <v>112.38</v>
      </c>
    </row>
    <row r="585" spans="1:4" x14ac:dyDescent="0.3">
      <c r="A585" s="2">
        <v>46195</v>
      </c>
      <c r="B585" s="3" t="s">
        <v>9</v>
      </c>
      <c r="C585" s="3" t="s">
        <v>7</v>
      </c>
      <c r="D585" s="4">
        <v>170.73</v>
      </c>
    </row>
    <row r="586" spans="1:4" x14ac:dyDescent="0.3">
      <c r="A586" s="2">
        <v>46196</v>
      </c>
      <c r="B586" s="3" t="s">
        <v>6</v>
      </c>
      <c r="C586" s="3" t="s">
        <v>7</v>
      </c>
      <c r="D586" s="4">
        <v>96.45</v>
      </c>
    </row>
    <row r="587" spans="1:4" x14ac:dyDescent="0.3">
      <c r="A587" s="2">
        <v>46196</v>
      </c>
      <c r="B587" s="3" t="s">
        <v>8</v>
      </c>
      <c r="C587" s="3" t="s">
        <v>7</v>
      </c>
      <c r="D587" s="4">
        <v>26.68</v>
      </c>
    </row>
    <row r="588" spans="1:4" x14ac:dyDescent="0.3">
      <c r="A588" s="2">
        <v>46196</v>
      </c>
      <c r="B588" s="3" t="s">
        <v>12</v>
      </c>
      <c r="C588" s="3" t="s">
        <v>11</v>
      </c>
      <c r="D588" s="4">
        <v>439.67</v>
      </c>
    </row>
    <row r="589" spans="1:4" x14ac:dyDescent="0.3">
      <c r="A589" s="2">
        <v>46197</v>
      </c>
      <c r="B589" s="3" t="s">
        <v>6</v>
      </c>
      <c r="C589" s="3" t="s">
        <v>7</v>
      </c>
      <c r="D589" s="4">
        <v>115.59</v>
      </c>
    </row>
    <row r="590" spans="1:4" x14ac:dyDescent="0.3">
      <c r="A590" s="2">
        <v>46197</v>
      </c>
      <c r="B590" s="3" t="s">
        <v>8</v>
      </c>
      <c r="C590" s="3" t="s">
        <v>7</v>
      </c>
      <c r="D590" s="4">
        <v>22.48</v>
      </c>
    </row>
    <row r="591" spans="1:4" x14ac:dyDescent="0.3">
      <c r="A591" s="2">
        <v>46197</v>
      </c>
      <c r="B591" s="3" t="s">
        <v>14</v>
      </c>
      <c r="C591" s="3" t="s">
        <v>11</v>
      </c>
      <c r="D591" s="4">
        <v>161.97</v>
      </c>
    </row>
    <row r="592" spans="1:4" x14ac:dyDescent="0.3">
      <c r="A592" s="2">
        <v>46197</v>
      </c>
      <c r="B592" s="3" t="s">
        <v>9</v>
      </c>
      <c r="C592" s="3" t="s">
        <v>7</v>
      </c>
      <c r="D592" s="4">
        <v>151.26</v>
      </c>
    </row>
    <row r="593" spans="1:4" x14ac:dyDescent="0.3">
      <c r="A593" s="2">
        <v>46198</v>
      </c>
      <c r="B593" s="3" t="s">
        <v>8</v>
      </c>
      <c r="C593" s="3" t="s">
        <v>7</v>
      </c>
      <c r="D593" s="4">
        <v>17.64</v>
      </c>
    </row>
    <row r="594" spans="1:4" x14ac:dyDescent="0.3">
      <c r="A594" s="2">
        <v>46198</v>
      </c>
      <c r="B594" s="3" t="s">
        <v>12</v>
      </c>
      <c r="C594" s="3" t="s">
        <v>11</v>
      </c>
      <c r="D594" s="4">
        <v>336.88</v>
      </c>
    </row>
    <row r="595" spans="1:4" x14ac:dyDescent="0.3">
      <c r="A595" s="2">
        <v>46199</v>
      </c>
      <c r="B595" s="3" t="s">
        <v>6</v>
      </c>
      <c r="C595" s="3" t="s">
        <v>7</v>
      </c>
      <c r="D595" s="4">
        <v>100.16</v>
      </c>
    </row>
    <row r="596" spans="1:4" x14ac:dyDescent="0.3">
      <c r="A596" s="2">
        <v>46199</v>
      </c>
      <c r="B596" s="3" t="s">
        <v>14</v>
      </c>
      <c r="C596" s="3" t="s">
        <v>11</v>
      </c>
      <c r="D596" s="4">
        <v>70.349999999999994</v>
      </c>
    </row>
    <row r="597" spans="1:4" x14ac:dyDescent="0.3">
      <c r="A597" s="2">
        <v>46199</v>
      </c>
      <c r="B597" s="3" t="s">
        <v>9</v>
      </c>
      <c r="C597" s="3" t="s">
        <v>7</v>
      </c>
      <c r="D597" s="4">
        <v>131.5</v>
      </c>
    </row>
    <row r="598" spans="1:4" x14ac:dyDescent="0.3">
      <c r="A598" s="2">
        <v>46200</v>
      </c>
      <c r="B598" s="3" t="s">
        <v>6</v>
      </c>
      <c r="C598" s="3" t="s">
        <v>7</v>
      </c>
      <c r="D598" s="4">
        <v>107.51</v>
      </c>
    </row>
    <row r="599" spans="1:4" x14ac:dyDescent="0.3">
      <c r="A599" s="2">
        <v>46200</v>
      </c>
      <c r="B599" s="3" t="s">
        <v>8</v>
      </c>
      <c r="C599" s="3" t="s">
        <v>7</v>
      </c>
      <c r="D599" s="4">
        <v>37.97</v>
      </c>
    </row>
    <row r="600" spans="1:4" x14ac:dyDescent="0.3">
      <c r="A600" s="2">
        <v>46202</v>
      </c>
      <c r="B600" s="3" t="s">
        <v>6</v>
      </c>
      <c r="C600" s="3" t="s">
        <v>7</v>
      </c>
      <c r="D600" s="4">
        <v>58.93</v>
      </c>
    </row>
    <row r="601" spans="1:4" x14ac:dyDescent="0.3">
      <c r="A601" s="2">
        <v>46202</v>
      </c>
      <c r="B601" s="3" t="s">
        <v>8</v>
      </c>
      <c r="C601" s="3" t="s">
        <v>7</v>
      </c>
      <c r="D601" s="4">
        <v>26.85</v>
      </c>
    </row>
    <row r="602" spans="1:4" x14ac:dyDescent="0.3">
      <c r="A602" s="2">
        <v>46202</v>
      </c>
      <c r="B602" s="3" t="s">
        <v>14</v>
      </c>
      <c r="C602" s="3" t="s">
        <v>11</v>
      </c>
      <c r="D602" s="4">
        <v>188.69</v>
      </c>
    </row>
    <row r="603" spans="1:4" x14ac:dyDescent="0.3">
      <c r="A603" s="2">
        <v>46202</v>
      </c>
      <c r="B603" s="3" t="s">
        <v>10</v>
      </c>
      <c r="C603" s="3" t="s">
        <v>11</v>
      </c>
      <c r="D603" s="4">
        <v>291.85000000000002</v>
      </c>
    </row>
    <row r="604" spans="1:4" x14ac:dyDescent="0.3">
      <c r="A604" s="2">
        <v>46203</v>
      </c>
      <c r="B604" s="3" t="s">
        <v>6</v>
      </c>
      <c r="C604" s="3" t="s">
        <v>7</v>
      </c>
      <c r="D604" s="4">
        <v>92.37</v>
      </c>
    </row>
    <row r="605" spans="1:4" x14ac:dyDescent="0.3">
      <c r="A605" s="2">
        <v>46204</v>
      </c>
      <c r="B605" s="3" t="s">
        <v>4</v>
      </c>
      <c r="C605" s="3" t="s">
        <v>5</v>
      </c>
      <c r="D605" s="4">
        <v>3000</v>
      </c>
    </row>
    <row r="606" spans="1:4" x14ac:dyDescent="0.3">
      <c r="A606" s="2">
        <v>46204</v>
      </c>
      <c r="B606" s="3" t="s">
        <v>6</v>
      </c>
      <c r="C606" s="3" t="s">
        <v>7</v>
      </c>
      <c r="D606" s="4">
        <v>80.069999999999993</v>
      </c>
    </row>
    <row r="607" spans="1:4" x14ac:dyDescent="0.3">
      <c r="A607" s="2">
        <v>46204</v>
      </c>
      <c r="B607" s="3" t="s">
        <v>8</v>
      </c>
      <c r="C607" s="3" t="s">
        <v>7</v>
      </c>
      <c r="D607" s="4">
        <v>28.63</v>
      </c>
    </row>
    <row r="608" spans="1:4" x14ac:dyDescent="0.3">
      <c r="A608" s="2">
        <v>46204</v>
      </c>
      <c r="B608" s="3" t="s">
        <v>14</v>
      </c>
      <c r="C608" s="3" t="s">
        <v>11</v>
      </c>
      <c r="D608" s="4">
        <v>77.31</v>
      </c>
    </row>
    <row r="609" spans="1:4" x14ac:dyDescent="0.3">
      <c r="A609" s="2">
        <v>46205</v>
      </c>
      <c r="B609" s="3" t="s">
        <v>6</v>
      </c>
      <c r="C609" s="3" t="s">
        <v>7</v>
      </c>
      <c r="D609" s="4">
        <v>95.65</v>
      </c>
    </row>
    <row r="610" spans="1:4" x14ac:dyDescent="0.3">
      <c r="A610" s="2">
        <v>46205</v>
      </c>
      <c r="B610" s="3" t="s">
        <v>8</v>
      </c>
      <c r="C610" s="3" t="s">
        <v>7</v>
      </c>
      <c r="D610" s="4">
        <v>44.66</v>
      </c>
    </row>
    <row r="611" spans="1:4" x14ac:dyDescent="0.3">
      <c r="A611" s="2">
        <v>46205</v>
      </c>
      <c r="B611" s="3" t="s">
        <v>12</v>
      </c>
      <c r="C611" s="3" t="s">
        <v>11</v>
      </c>
      <c r="D611" s="4">
        <v>112.34</v>
      </c>
    </row>
    <row r="612" spans="1:4" x14ac:dyDescent="0.3">
      <c r="A612" s="2">
        <v>46206</v>
      </c>
      <c r="B612" s="3" t="s">
        <v>6</v>
      </c>
      <c r="C612" s="3" t="s">
        <v>7</v>
      </c>
      <c r="D612" s="4">
        <v>85.84</v>
      </c>
    </row>
    <row r="613" spans="1:4" x14ac:dyDescent="0.3">
      <c r="A613" s="2">
        <v>46206</v>
      </c>
      <c r="B613" s="3" t="s">
        <v>8</v>
      </c>
      <c r="C613" s="3" t="s">
        <v>7</v>
      </c>
      <c r="D613" s="4">
        <v>31.91</v>
      </c>
    </row>
    <row r="614" spans="1:4" x14ac:dyDescent="0.3">
      <c r="A614" s="2">
        <v>46206</v>
      </c>
      <c r="B614" s="3" t="s">
        <v>10</v>
      </c>
      <c r="C614" s="3" t="s">
        <v>11</v>
      </c>
      <c r="D614" s="4">
        <v>157.1</v>
      </c>
    </row>
    <row r="615" spans="1:4" x14ac:dyDescent="0.3">
      <c r="A615" s="2">
        <v>46207</v>
      </c>
      <c r="B615" s="3" t="s">
        <v>9</v>
      </c>
      <c r="C615" s="3" t="s">
        <v>7</v>
      </c>
      <c r="D615" s="4">
        <v>229.75</v>
      </c>
    </row>
    <row r="616" spans="1:4" x14ac:dyDescent="0.3">
      <c r="A616" s="2">
        <v>46208</v>
      </c>
      <c r="B616" s="3" t="s">
        <v>8</v>
      </c>
      <c r="C616" s="3" t="s">
        <v>7</v>
      </c>
      <c r="D616" s="4">
        <v>44.34</v>
      </c>
    </row>
    <row r="617" spans="1:4" x14ac:dyDescent="0.3">
      <c r="A617" s="2">
        <v>46208</v>
      </c>
      <c r="B617" s="3" t="s">
        <v>13</v>
      </c>
      <c r="C617" s="3" t="s">
        <v>7</v>
      </c>
      <c r="D617" s="4">
        <v>269.72000000000003</v>
      </c>
    </row>
    <row r="618" spans="1:4" x14ac:dyDescent="0.3">
      <c r="A618" s="2">
        <v>46209</v>
      </c>
      <c r="B618" s="3" t="s">
        <v>8</v>
      </c>
      <c r="C618" s="3" t="s">
        <v>7</v>
      </c>
      <c r="D618" s="4">
        <v>49.8</v>
      </c>
    </row>
    <row r="619" spans="1:4" x14ac:dyDescent="0.3">
      <c r="A619" s="2">
        <v>46209</v>
      </c>
      <c r="B619" s="3" t="s">
        <v>12</v>
      </c>
      <c r="C619" s="3" t="s">
        <v>11</v>
      </c>
      <c r="D619" s="4">
        <v>424.28</v>
      </c>
    </row>
    <row r="620" spans="1:4" x14ac:dyDescent="0.3">
      <c r="A620" s="2">
        <v>46210</v>
      </c>
      <c r="B620" s="3" t="s">
        <v>14</v>
      </c>
      <c r="C620" s="3" t="s">
        <v>11</v>
      </c>
      <c r="D620" s="4">
        <v>77.849999999999994</v>
      </c>
    </row>
    <row r="621" spans="1:4" x14ac:dyDescent="0.3">
      <c r="A621" s="2">
        <v>46210</v>
      </c>
      <c r="B621" s="3" t="s">
        <v>12</v>
      </c>
      <c r="C621" s="3" t="s">
        <v>11</v>
      </c>
      <c r="D621" s="4">
        <v>182.78</v>
      </c>
    </row>
    <row r="622" spans="1:4" x14ac:dyDescent="0.3">
      <c r="A622" s="2">
        <v>46210</v>
      </c>
      <c r="B622" s="3" t="s">
        <v>9</v>
      </c>
      <c r="C622" s="3" t="s">
        <v>7</v>
      </c>
      <c r="D622" s="4">
        <v>137.69999999999999</v>
      </c>
    </row>
    <row r="623" spans="1:4" x14ac:dyDescent="0.3">
      <c r="A623" s="2">
        <v>46211</v>
      </c>
      <c r="B623" s="3" t="s">
        <v>6</v>
      </c>
      <c r="C623" s="3" t="s">
        <v>7</v>
      </c>
      <c r="D623" s="4">
        <v>71.58</v>
      </c>
    </row>
    <row r="624" spans="1:4" x14ac:dyDescent="0.3">
      <c r="A624" s="2">
        <v>46212</v>
      </c>
      <c r="B624" s="3" t="s">
        <v>8</v>
      </c>
      <c r="C624" s="3" t="s">
        <v>7</v>
      </c>
      <c r="D624" s="4">
        <v>48.76</v>
      </c>
    </row>
    <row r="625" spans="1:4" x14ac:dyDescent="0.3">
      <c r="A625" s="2">
        <v>46213</v>
      </c>
      <c r="B625" s="3" t="s">
        <v>6</v>
      </c>
      <c r="C625" s="3" t="s">
        <v>7</v>
      </c>
      <c r="D625" s="4">
        <v>107.74</v>
      </c>
    </row>
    <row r="626" spans="1:4" x14ac:dyDescent="0.3">
      <c r="A626" s="2">
        <v>46213</v>
      </c>
      <c r="B626" s="3" t="s">
        <v>8</v>
      </c>
      <c r="C626" s="3" t="s">
        <v>7</v>
      </c>
      <c r="D626" s="4">
        <v>40.380000000000003</v>
      </c>
    </row>
    <row r="627" spans="1:4" x14ac:dyDescent="0.3">
      <c r="A627" s="2">
        <v>46214</v>
      </c>
      <c r="B627" s="3" t="s">
        <v>8</v>
      </c>
      <c r="C627" s="3" t="s">
        <v>7</v>
      </c>
      <c r="D627" s="4">
        <v>30.47</v>
      </c>
    </row>
    <row r="628" spans="1:4" x14ac:dyDescent="0.3">
      <c r="A628" s="2">
        <v>46214</v>
      </c>
      <c r="B628" s="3" t="s">
        <v>10</v>
      </c>
      <c r="C628" s="3" t="s">
        <v>11</v>
      </c>
      <c r="D628" s="4">
        <v>357.81</v>
      </c>
    </row>
    <row r="629" spans="1:4" x14ac:dyDescent="0.3">
      <c r="A629" s="2">
        <v>46215</v>
      </c>
      <c r="B629" s="3" t="s">
        <v>6</v>
      </c>
      <c r="C629" s="3" t="s">
        <v>7</v>
      </c>
      <c r="D629" s="4">
        <v>112.42</v>
      </c>
    </row>
    <row r="630" spans="1:4" x14ac:dyDescent="0.3">
      <c r="A630" s="2">
        <v>46215</v>
      </c>
      <c r="B630" s="3" t="s">
        <v>8</v>
      </c>
      <c r="C630" s="3" t="s">
        <v>7</v>
      </c>
      <c r="D630" s="4">
        <v>48.34</v>
      </c>
    </row>
    <row r="631" spans="1:4" x14ac:dyDescent="0.3">
      <c r="A631" s="2">
        <v>46215</v>
      </c>
      <c r="B631" s="3" t="s">
        <v>12</v>
      </c>
      <c r="C631" s="3" t="s">
        <v>11</v>
      </c>
      <c r="D631" s="4">
        <v>409.65</v>
      </c>
    </row>
    <row r="632" spans="1:4" x14ac:dyDescent="0.3">
      <c r="A632" s="2">
        <v>46216</v>
      </c>
      <c r="B632" s="3" t="s">
        <v>6</v>
      </c>
      <c r="C632" s="3" t="s">
        <v>7</v>
      </c>
      <c r="D632" s="4">
        <v>94.28</v>
      </c>
    </row>
    <row r="633" spans="1:4" x14ac:dyDescent="0.3">
      <c r="A633" s="2">
        <v>46216</v>
      </c>
      <c r="B633" s="3" t="s">
        <v>8</v>
      </c>
      <c r="C633" s="3" t="s">
        <v>7</v>
      </c>
      <c r="D633" s="4">
        <v>18.78</v>
      </c>
    </row>
    <row r="634" spans="1:4" x14ac:dyDescent="0.3">
      <c r="A634" s="2">
        <v>46216</v>
      </c>
      <c r="B634" s="3" t="s">
        <v>12</v>
      </c>
      <c r="C634" s="3" t="s">
        <v>11</v>
      </c>
      <c r="D634" s="4">
        <v>271.86</v>
      </c>
    </row>
    <row r="635" spans="1:4" x14ac:dyDescent="0.3">
      <c r="A635" s="2">
        <v>46216</v>
      </c>
      <c r="B635" s="3" t="s">
        <v>9</v>
      </c>
      <c r="C635" s="3" t="s">
        <v>7</v>
      </c>
      <c r="D635" s="4">
        <v>117.13</v>
      </c>
    </row>
    <row r="636" spans="1:4" x14ac:dyDescent="0.3">
      <c r="A636" s="2">
        <v>46217</v>
      </c>
      <c r="B636" s="3" t="s">
        <v>6</v>
      </c>
      <c r="C636" s="3" t="s">
        <v>7</v>
      </c>
      <c r="D636" s="4">
        <v>88.53</v>
      </c>
    </row>
    <row r="637" spans="1:4" x14ac:dyDescent="0.3">
      <c r="A637" s="2">
        <v>46217</v>
      </c>
      <c r="B637" s="3" t="s">
        <v>10</v>
      </c>
      <c r="C637" s="3" t="s">
        <v>11</v>
      </c>
      <c r="D637" s="4">
        <v>149.79</v>
      </c>
    </row>
    <row r="638" spans="1:4" x14ac:dyDescent="0.3">
      <c r="A638" s="2">
        <v>46218</v>
      </c>
      <c r="B638" s="3" t="s">
        <v>8</v>
      </c>
      <c r="C638" s="3" t="s">
        <v>7</v>
      </c>
      <c r="D638" s="4">
        <v>20.81</v>
      </c>
    </row>
    <row r="639" spans="1:4" x14ac:dyDescent="0.3">
      <c r="A639" s="2">
        <v>46218</v>
      </c>
      <c r="B639" s="3" t="s">
        <v>9</v>
      </c>
      <c r="C639" s="3" t="s">
        <v>7</v>
      </c>
      <c r="D639" s="4">
        <v>289.51</v>
      </c>
    </row>
    <row r="640" spans="1:4" x14ac:dyDescent="0.3">
      <c r="A640" s="2">
        <v>46219</v>
      </c>
      <c r="B640" s="3" t="s">
        <v>8</v>
      </c>
      <c r="C640" s="3" t="s">
        <v>7</v>
      </c>
      <c r="D640" s="4">
        <v>38.33</v>
      </c>
    </row>
    <row r="641" spans="1:4" x14ac:dyDescent="0.3">
      <c r="A641" s="2">
        <v>46219</v>
      </c>
      <c r="B641" s="3" t="s">
        <v>14</v>
      </c>
      <c r="C641" s="3" t="s">
        <v>11</v>
      </c>
      <c r="D641" s="4">
        <v>236.55</v>
      </c>
    </row>
    <row r="642" spans="1:4" x14ac:dyDescent="0.3">
      <c r="A642" s="2">
        <v>46220</v>
      </c>
      <c r="B642" s="3" t="s">
        <v>6</v>
      </c>
      <c r="C642" s="3" t="s">
        <v>7</v>
      </c>
      <c r="D642" s="4">
        <v>110.25</v>
      </c>
    </row>
    <row r="643" spans="1:4" x14ac:dyDescent="0.3">
      <c r="A643" s="2">
        <v>46220</v>
      </c>
      <c r="B643" s="3" t="s">
        <v>8</v>
      </c>
      <c r="C643" s="3" t="s">
        <v>7</v>
      </c>
      <c r="D643" s="4">
        <v>29.88</v>
      </c>
    </row>
    <row r="644" spans="1:4" x14ac:dyDescent="0.3">
      <c r="A644" s="2">
        <v>46220</v>
      </c>
      <c r="B644" s="3" t="s">
        <v>9</v>
      </c>
      <c r="C644" s="3" t="s">
        <v>7</v>
      </c>
      <c r="D644" s="4">
        <v>213.87</v>
      </c>
    </row>
    <row r="645" spans="1:4" x14ac:dyDescent="0.3">
      <c r="A645" s="2">
        <v>46221</v>
      </c>
      <c r="B645" s="3" t="s">
        <v>6</v>
      </c>
      <c r="C645" s="3" t="s">
        <v>7</v>
      </c>
      <c r="D645" s="4">
        <v>81.790000000000006</v>
      </c>
    </row>
    <row r="646" spans="1:4" x14ac:dyDescent="0.3">
      <c r="A646" s="2">
        <v>46221</v>
      </c>
      <c r="B646" s="3" t="s">
        <v>8</v>
      </c>
      <c r="C646" s="3" t="s">
        <v>7</v>
      </c>
      <c r="D646" s="4">
        <v>24.21</v>
      </c>
    </row>
    <row r="647" spans="1:4" x14ac:dyDescent="0.3">
      <c r="A647" s="2">
        <v>46221</v>
      </c>
      <c r="B647" s="3" t="s">
        <v>12</v>
      </c>
      <c r="C647" s="3" t="s">
        <v>11</v>
      </c>
      <c r="D647" s="4">
        <v>378.24</v>
      </c>
    </row>
    <row r="648" spans="1:4" x14ac:dyDescent="0.3">
      <c r="A648" s="2">
        <v>46222</v>
      </c>
      <c r="B648" s="3" t="s">
        <v>6</v>
      </c>
      <c r="C648" s="3" t="s">
        <v>7</v>
      </c>
      <c r="D648" s="4">
        <v>58.81</v>
      </c>
    </row>
    <row r="649" spans="1:4" x14ac:dyDescent="0.3">
      <c r="A649" s="2">
        <v>46222</v>
      </c>
      <c r="B649" s="3" t="s">
        <v>8</v>
      </c>
      <c r="C649" s="3" t="s">
        <v>7</v>
      </c>
      <c r="D649" s="4">
        <v>29.44</v>
      </c>
    </row>
    <row r="650" spans="1:4" x14ac:dyDescent="0.3">
      <c r="A650" s="2">
        <v>46222</v>
      </c>
      <c r="B650" s="3" t="s">
        <v>12</v>
      </c>
      <c r="C650" s="3" t="s">
        <v>11</v>
      </c>
      <c r="D650" s="4">
        <v>225.34</v>
      </c>
    </row>
    <row r="651" spans="1:4" x14ac:dyDescent="0.3">
      <c r="A651" s="2">
        <v>46222</v>
      </c>
      <c r="B651" s="3" t="s">
        <v>10</v>
      </c>
      <c r="C651" s="3" t="s">
        <v>11</v>
      </c>
      <c r="D651" s="4">
        <v>486.73</v>
      </c>
    </row>
    <row r="652" spans="1:4" x14ac:dyDescent="0.3">
      <c r="A652" s="2">
        <v>46223</v>
      </c>
      <c r="B652" s="3" t="s">
        <v>8</v>
      </c>
      <c r="C652" s="3" t="s">
        <v>7</v>
      </c>
      <c r="D652" s="4">
        <v>49.76</v>
      </c>
    </row>
    <row r="653" spans="1:4" x14ac:dyDescent="0.3">
      <c r="A653" s="2">
        <v>46223</v>
      </c>
      <c r="B653" s="3" t="s">
        <v>14</v>
      </c>
      <c r="C653" s="3" t="s">
        <v>11</v>
      </c>
      <c r="D653" s="4">
        <v>156.1</v>
      </c>
    </row>
    <row r="654" spans="1:4" x14ac:dyDescent="0.3">
      <c r="A654" s="2">
        <v>46223</v>
      </c>
      <c r="B654" s="3" t="s">
        <v>12</v>
      </c>
      <c r="C654" s="3" t="s">
        <v>11</v>
      </c>
      <c r="D654" s="4">
        <v>360.01</v>
      </c>
    </row>
    <row r="655" spans="1:4" x14ac:dyDescent="0.3">
      <c r="A655" s="2">
        <v>46224</v>
      </c>
      <c r="B655" s="3" t="s">
        <v>8</v>
      </c>
      <c r="C655" s="3" t="s">
        <v>7</v>
      </c>
      <c r="D655" s="4">
        <v>30.39</v>
      </c>
    </row>
    <row r="656" spans="1:4" x14ac:dyDescent="0.3">
      <c r="A656" s="2">
        <v>46224</v>
      </c>
      <c r="B656" s="3" t="s">
        <v>9</v>
      </c>
      <c r="C656" s="3" t="s">
        <v>7</v>
      </c>
      <c r="D656" s="4">
        <v>75.12</v>
      </c>
    </row>
    <row r="657" spans="1:4" x14ac:dyDescent="0.3">
      <c r="A657" s="2">
        <v>46225</v>
      </c>
      <c r="B657" s="3" t="s">
        <v>8</v>
      </c>
      <c r="C657" s="3" t="s">
        <v>7</v>
      </c>
      <c r="D657" s="4">
        <v>48.77</v>
      </c>
    </row>
    <row r="658" spans="1:4" x14ac:dyDescent="0.3">
      <c r="A658" s="2">
        <v>46225</v>
      </c>
      <c r="B658" s="3" t="s">
        <v>12</v>
      </c>
      <c r="C658" s="3" t="s">
        <v>11</v>
      </c>
      <c r="D658" s="4">
        <v>210.79</v>
      </c>
    </row>
    <row r="659" spans="1:4" x14ac:dyDescent="0.3">
      <c r="A659" s="2">
        <v>46225</v>
      </c>
      <c r="B659" s="3" t="s">
        <v>9</v>
      </c>
      <c r="C659" s="3" t="s">
        <v>7</v>
      </c>
      <c r="D659" s="4">
        <v>188.35</v>
      </c>
    </row>
    <row r="660" spans="1:4" x14ac:dyDescent="0.3">
      <c r="A660" s="2">
        <v>46227</v>
      </c>
      <c r="B660" s="3" t="s">
        <v>6</v>
      </c>
      <c r="C660" s="3" t="s">
        <v>7</v>
      </c>
      <c r="D660" s="4">
        <v>83.97</v>
      </c>
    </row>
    <row r="661" spans="1:4" x14ac:dyDescent="0.3">
      <c r="A661" s="2">
        <v>46227</v>
      </c>
      <c r="B661" s="3" t="s">
        <v>12</v>
      </c>
      <c r="C661" s="3" t="s">
        <v>11</v>
      </c>
      <c r="D661" s="4">
        <v>459.17</v>
      </c>
    </row>
    <row r="662" spans="1:4" x14ac:dyDescent="0.3">
      <c r="A662" s="2">
        <v>46228</v>
      </c>
      <c r="B662" s="3" t="s">
        <v>6</v>
      </c>
      <c r="C662" s="3" t="s">
        <v>7</v>
      </c>
      <c r="D662" s="4">
        <v>83.31</v>
      </c>
    </row>
    <row r="663" spans="1:4" x14ac:dyDescent="0.3">
      <c r="A663" s="2">
        <v>46229</v>
      </c>
      <c r="B663" s="3" t="s">
        <v>6</v>
      </c>
      <c r="C663" s="3" t="s">
        <v>7</v>
      </c>
      <c r="D663" s="4">
        <v>107.39</v>
      </c>
    </row>
    <row r="664" spans="1:4" x14ac:dyDescent="0.3">
      <c r="A664" s="2">
        <v>46230</v>
      </c>
      <c r="B664" s="3" t="s">
        <v>8</v>
      </c>
      <c r="C664" s="3" t="s">
        <v>7</v>
      </c>
      <c r="D664" s="4">
        <v>18.920000000000002</v>
      </c>
    </row>
    <row r="665" spans="1:4" x14ac:dyDescent="0.3">
      <c r="A665" s="2">
        <v>46230</v>
      </c>
      <c r="B665" s="3" t="s">
        <v>12</v>
      </c>
      <c r="C665" s="3" t="s">
        <v>11</v>
      </c>
      <c r="D665" s="4">
        <v>124.19</v>
      </c>
    </row>
    <row r="666" spans="1:4" x14ac:dyDescent="0.3">
      <c r="A666" s="2">
        <v>46231</v>
      </c>
      <c r="B666" s="3" t="s">
        <v>8</v>
      </c>
      <c r="C666" s="3" t="s">
        <v>7</v>
      </c>
      <c r="D666" s="4">
        <v>30.51</v>
      </c>
    </row>
    <row r="667" spans="1:4" x14ac:dyDescent="0.3">
      <c r="A667" s="2">
        <v>46231</v>
      </c>
      <c r="B667" s="3" t="s">
        <v>12</v>
      </c>
      <c r="C667" s="3" t="s">
        <v>11</v>
      </c>
      <c r="D667" s="4">
        <v>314.63</v>
      </c>
    </row>
    <row r="668" spans="1:4" x14ac:dyDescent="0.3">
      <c r="A668" s="2">
        <v>46232</v>
      </c>
      <c r="B668" s="3" t="s">
        <v>6</v>
      </c>
      <c r="C668" s="3" t="s">
        <v>7</v>
      </c>
      <c r="D668" s="4">
        <v>84.09</v>
      </c>
    </row>
    <row r="669" spans="1:4" x14ac:dyDescent="0.3">
      <c r="A669" s="2">
        <v>46232</v>
      </c>
      <c r="B669" s="3" t="s">
        <v>8</v>
      </c>
      <c r="C669" s="3" t="s">
        <v>7</v>
      </c>
      <c r="D669" s="4">
        <v>43.6</v>
      </c>
    </row>
    <row r="670" spans="1:4" x14ac:dyDescent="0.3">
      <c r="A670" s="2">
        <v>46233</v>
      </c>
      <c r="B670" s="3" t="s">
        <v>8</v>
      </c>
      <c r="C670" s="3" t="s">
        <v>7</v>
      </c>
      <c r="D670" s="4">
        <v>39.96</v>
      </c>
    </row>
    <row r="671" spans="1:4" x14ac:dyDescent="0.3">
      <c r="A671" s="2">
        <v>46233</v>
      </c>
      <c r="B671" s="3" t="s">
        <v>9</v>
      </c>
      <c r="C671" s="3" t="s">
        <v>7</v>
      </c>
      <c r="D671" s="4">
        <v>71.55</v>
      </c>
    </row>
    <row r="672" spans="1:4" x14ac:dyDescent="0.3">
      <c r="A672" s="2">
        <v>46234</v>
      </c>
      <c r="B672" s="3" t="s">
        <v>6</v>
      </c>
      <c r="C672" s="3" t="s">
        <v>7</v>
      </c>
      <c r="D672" s="4">
        <v>90.59</v>
      </c>
    </row>
    <row r="673" spans="1:4" x14ac:dyDescent="0.3">
      <c r="A673" s="2">
        <v>46234</v>
      </c>
      <c r="B673" s="3" t="s">
        <v>8</v>
      </c>
      <c r="C673" s="3" t="s">
        <v>7</v>
      </c>
      <c r="D673" s="4">
        <v>41.39</v>
      </c>
    </row>
    <row r="674" spans="1:4" x14ac:dyDescent="0.3">
      <c r="A674" s="2">
        <v>46234</v>
      </c>
      <c r="B674" s="3" t="s">
        <v>12</v>
      </c>
      <c r="C674" s="3" t="s">
        <v>11</v>
      </c>
      <c r="D674" s="4">
        <v>383.16</v>
      </c>
    </row>
    <row r="675" spans="1:4" x14ac:dyDescent="0.3">
      <c r="A675" s="2">
        <v>46235</v>
      </c>
      <c r="B675" s="3" t="s">
        <v>4</v>
      </c>
      <c r="C675" s="3" t="s">
        <v>5</v>
      </c>
      <c r="D675" s="4">
        <v>3000</v>
      </c>
    </row>
    <row r="676" spans="1:4" x14ac:dyDescent="0.3">
      <c r="A676" s="2">
        <v>46235</v>
      </c>
      <c r="B676" s="3" t="s">
        <v>6</v>
      </c>
      <c r="C676" s="3" t="s">
        <v>7</v>
      </c>
      <c r="D676" s="4">
        <v>102.2</v>
      </c>
    </row>
    <row r="677" spans="1:4" x14ac:dyDescent="0.3">
      <c r="A677" s="2">
        <v>46235</v>
      </c>
      <c r="B677" s="3" t="s">
        <v>14</v>
      </c>
      <c r="C677" s="3" t="s">
        <v>11</v>
      </c>
      <c r="D677" s="4">
        <v>75.39</v>
      </c>
    </row>
    <row r="678" spans="1:4" x14ac:dyDescent="0.3">
      <c r="A678" s="2">
        <v>46236</v>
      </c>
      <c r="B678" s="3" t="s">
        <v>8</v>
      </c>
      <c r="C678" s="3" t="s">
        <v>7</v>
      </c>
      <c r="D678" s="4">
        <v>43.57</v>
      </c>
    </row>
    <row r="679" spans="1:4" x14ac:dyDescent="0.3">
      <c r="A679" s="2">
        <v>46236</v>
      </c>
      <c r="B679" s="3" t="s">
        <v>12</v>
      </c>
      <c r="C679" s="3" t="s">
        <v>11</v>
      </c>
      <c r="D679" s="4">
        <v>384.93</v>
      </c>
    </row>
    <row r="680" spans="1:4" x14ac:dyDescent="0.3">
      <c r="A680" s="2">
        <v>46236</v>
      </c>
      <c r="B680" s="3" t="s">
        <v>10</v>
      </c>
      <c r="C680" s="3" t="s">
        <v>11</v>
      </c>
      <c r="D680" s="4">
        <v>327.60000000000002</v>
      </c>
    </row>
    <row r="681" spans="1:4" x14ac:dyDescent="0.3">
      <c r="A681" s="2">
        <v>46237</v>
      </c>
      <c r="B681" s="3" t="s">
        <v>6</v>
      </c>
      <c r="C681" s="3" t="s">
        <v>7</v>
      </c>
      <c r="D681" s="4">
        <v>83.31</v>
      </c>
    </row>
    <row r="682" spans="1:4" x14ac:dyDescent="0.3">
      <c r="A682" s="2">
        <v>46237</v>
      </c>
      <c r="B682" s="3" t="s">
        <v>9</v>
      </c>
      <c r="C682" s="3" t="s">
        <v>7</v>
      </c>
      <c r="D682" s="4">
        <v>193.48</v>
      </c>
    </row>
    <row r="683" spans="1:4" x14ac:dyDescent="0.3">
      <c r="A683" s="2">
        <v>46238</v>
      </c>
      <c r="B683" s="3" t="s">
        <v>6</v>
      </c>
      <c r="C683" s="3" t="s">
        <v>7</v>
      </c>
      <c r="D683" s="4">
        <v>83.92</v>
      </c>
    </row>
    <row r="684" spans="1:4" x14ac:dyDescent="0.3">
      <c r="A684" s="2">
        <v>46238</v>
      </c>
      <c r="B684" s="3" t="s">
        <v>8</v>
      </c>
      <c r="C684" s="3" t="s">
        <v>7</v>
      </c>
      <c r="D684" s="4">
        <v>45.43</v>
      </c>
    </row>
    <row r="685" spans="1:4" x14ac:dyDescent="0.3">
      <c r="A685" s="2">
        <v>46238</v>
      </c>
      <c r="B685" s="3" t="s">
        <v>14</v>
      </c>
      <c r="C685" s="3" t="s">
        <v>11</v>
      </c>
      <c r="D685" s="4">
        <v>144.35</v>
      </c>
    </row>
    <row r="686" spans="1:4" x14ac:dyDescent="0.3">
      <c r="A686" s="2">
        <v>46238</v>
      </c>
      <c r="B686" s="3" t="s">
        <v>9</v>
      </c>
      <c r="C686" s="3" t="s">
        <v>7</v>
      </c>
      <c r="D686" s="4">
        <v>282.79000000000002</v>
      </c>
    </row>
    <row r="687" spans="1:4" x14ac:dyDescent="0.3">
      <c r="A687" s="2">
        <v>46239</v>
      </c>
      <c r="B687" s="3" t="s">
        <v>13</v>
      </c>
      <c r="C687" s="3" t="s">
        <v>7</v>
      </c>
      <c r="D687" s="4">
        <v>344.06</v>
      </c>
    </row>
    <row r="688" spans="1:4" x14ac:dyDescent="0.3">
      <c r="A688" s="2">
        <v>46240</v>
      </c>
      <c r="B688" s="3" t="s">
        <v>6</v>
      </c>
      <c r="C688" s="3" t="s">
        <v>7</v>
      </c>
      <c r="D688" s="4">
        <v>55.19</v>
      </c>
    </row>
    <row r="689" spans="1:4" x14ac:dyDescent="0.3">
      <c r="A689" s="2">
        <v>46240</v>
      </c>
      <c r="B689" s="3" t="s">
        <v>8</v>
      </c>
      <c r="C689" s="3" t="s">
        <v>7</v>
      </c>
      <c r="D689" s="4">
        <v>33.4</v>
      </c>
    </row>
    <row r="690" spans="1:4" x14ac:dyDescent="0.3">
      <c r="A690" s="2">
        <v>46240</v>
      </c>
      <c r="B690" s="3" t="s">
        <v>12</v>
      </c>
      <c r="C690" s="3" t="s">
        <v>11</v>
      </c>
      <c r="D690" s="4">
        <v>421.74</v>
      </c>
    </row>
    <row r="691" spans="1:4" x14ac:dyDescent="0.3">
      <c r="A691" s="2">
        <v>46241</v>
      </c>
      <c r="B691" s="3" t="s">
        <v>6</v>
      </c>
      <c r="C691" s="3" t="s">
        <v>7</v>
      </c>
      <c r="D691" s="4">
        <v>81.010000000000005</v>
      </c>
    </row>
    <row r="692" spans="1:4" x14ac:dyDescent="0.3">
      <c r="A692" s="2">
        <v>46241</v>
      </c>
      <c r="B692" s="3" t="s">
        <v>8</v>
      </c>
      <c r="C692" s="3" t="s">
        <v>7</v>
      </c>
      <c r="D692" s="4">
        <v>44.83</v>
      </c>
    </row>
    <row r="693" spans="1:4" x14ac:dyDescent="0.3">
      <c r="A693" s="2">
        <v>46241</v>
      </c>
      <c r="B693" s="3" t="s">
        <v>9</v>
      </c>
      <c r="C693" s="3" t="s">
        <v>7</v>
      </c>
      <c r="D693" s="4">
        <v>100.17</v>
      </c>
    </row>
    <row r="694" spans="1:4" x14ac:dyDescent="0.3">
      <c r="A694" s="2">
        <v>46242</v>
      </c>
      <c r="B694" s="3" t="s">
        <v>6</v>
      </c>
      <c r="C694" s="3" t="s">
        <v>7</v>
      </c>
      <c r="D694" s="4">
        <v>91.51</v>
      </c>
    </row>
    <row r="695" spans="1:4" x14ac:dyDescent="0.3">
      <c r="A695" s="2">
        <v>46242</v>
      </c>
      <c r="B695" s="3" t="s">
        <v>8</v>
      </c>
      <c r="C695" s="3" t="s">
        <v>7</v>
      </c>
      <c r="D695" s="4">
        <v>36.39</v>
      </c>
    </row>
    <row r="696" spans="1:4" x14ac:dyDescent="0.3">
      <c r="A696" s="2">
        <v>46242</v>
      </c>
      <c r="B696" s="3" t="s">
        <v>9</v>
      </c>
      <c r="C696" s="3" t="s">
        <v>7</v>
      </c>
      <c r="D696" s="4">
        <v>275.11</v>
      </c>
    </row>
    <row r="697" spans="1:4" x14ac:dyDescent="0.3">
      <c r="A697" s="2">
        <v>46243</v>
      </c>
      <c r="B697" s="3" t="s">
        <v>6</v>
      </c>
      <c r="C697" s="3" t="s">
        <v>7</v>
      </c>
      <c r="D697" s="4">
        <v>50.43</v>
      </c>
    </row>
    <row r="698" spans="1:4" x14ac:dyDescent="0.3">
      <c r="A698" s="2">
        <v>46243</v>
      </c>
      <c r="B698" s="3" t="s">
        <v>8</v>
      </c>
      <c r="C698" s="3" t="s">
        <v>7</v>
      </c>
      <c r="D698" s="4">
        <v>24.43</v>
      </c>
    </row>
    <row r="699" spans="1:4" x14ac:dyDescent="0.3">
      <c r="A699" s="2">
        <v>46244</v>
      </c>
      <c r="B699" s="3" t="s">
        <v>6</v>
      </c>
      <c r="C699" s="3" t="s">
        <v>7</v>
      </c>
      <c r="D699" s="4">
        <v>93.82</v>
      </c>
    </row>
    <row r="700" spans="1:4" x14ac:dyDescent="0.3">
      <c r="A700" s="2">
        <v>46244</v>
      </c>
      <c r="B700" s="3" t="s">
        <v>12</v>
      </c>
      <c r="C700" s="3" t="s">
        <v>11</v>
      </c>
      <c r="D700" s="4">
        <v>311.93</v>
      </c>
    </row>
    <row r="701" spans="1:4" x14ac:dyDescent="0.3">
      <c r="A701" s="2">
        <v>46244</v>
      </c>
      <c r="B701" s="3" t="s">
        <v>9</v>
      </c>
      <c r="C701" s="3" t="s">
        <v>7</v>
      </c>
      <c r="D701" s="4">
        <v>173.01</v>
      </c>
    </row>
    <row r="702" spans="1:4" x14ac:dyDescent="0.3">
      <c r="A702" s="2">
        <v>46244</v>
      </c>
      <c r="B702" s="3" t="s">
        <v>10</v>
      </c>
      <c r="C702" s="3" t="s">
        <v>11</v>
      </c>
      <c r="D702" s="4">
        <v>598.48</v>
      </c>
    </row>
    <row r="703" spans="1:4" x14ac:dyDescent="0.3">
      <c r="A703" s="2">
        <v>46245</v>
      </c>
      <c r="B703" s="3" t="s">
        <v>8</v>
      </c>
      <c r="C703" s="3" t="s">
        <v>7</v>
      </c>
      <c r="D703" s="4">
        <v>47.38</v>
      </c>
    </row>
    <row r="704" spans="1:4" x14ac:dyDescent="0.3">
      <c r="A704" s="2">
        <v>46246</v>
      </c>
      <c r="B704" s="3" t="s">
        <v>8</v>
      </c>
      <c r="C704" s="3" t="s">
        <v>7</v>
      </c>
      <c r="D704" s="4">
        <v>19.850000000000001</v>
      </c>
    </row>
    <row r="705" spans="1:4" x14ac:dyDescent="0.3">
      <c r="A705" s="2">
        <v>46246</v>
      </c>
      <c r="B705" s="3" t="s">
        <v>14</v>
      </c>
      <c r="C705" s="3" t="s">
        <v>11</v>
      </c>
      <c r="D705" s="4">
        <v>213.99</v>
      </c>
    </row>
    <row r="706" spans="1:4" x14ac:dyDescent="0.3">
      <c r="A706" s="2">
        <v>46246</v>
      </c>
      <c r="B706" s="3" t="s">
        <v>12</v>
      </c>
      <c r="C706" s="3" t="s">
        <v>11</v>
      </c>
      <c r="D706" s="4">
        <v>327.13</v>
      </c>
    </row>
    <row r="707" spans="1:4" x14ac:dyDescent="0.3">
      <c r="A707" s="2">
        <v>46247</v>
      </c>
      <c r="B707" s="3" t="s">
        <v>6</v>
      </c>
      <c r="C707" s="3" t="s">
        <v>7</v>
      </c>
      <c r="D707" s="4">
        <v>67.400000000000006</v>
      </c>
    </row>
    <row r="708" spans="1:4" x14ac:dyDescent="0.3">
      <c r="A708" s="2">
        <v>46247</v>
      </c>
      <c r="B708" s="3" t="s">
        <v>8</v>
      </c>
      <c r="C708" s="3" t="s">
        <v>7</v>
      </c>
      <c r="D708" s="4">
        <v>43.36</v>
      </c>
    </row>
    <row r="709" spans="1:4" x14ac:dyDescent="0.3">
      <c r="A709" s="2">
        <v>46248</v>
      </c>
      <c r="B709" s="3" t="s">
        <v>6</v>
      </c>
      <c r="C709" s="3" t="s">
        <v>7</v>
      </c>
      <c r="D709" s="4">
        <v>63.51</v>
      </c>
    </row>
    <row r="710" spans="1:4" x14ac:dyDescent="0.3">
      <c r="A710" s="2">
        <v>46248</v>
      </c>
      <c r="B710" s="3" t="s">
        <v>12</v>
      </c>
      <c r="C710" s="3" t="s">
        <v>11</v>
      </c>
      <c r="D710" s="4">
        <v>165.75</v>
      </c>
    </row>
    <row r="711" spans="1:4" x14ac:dyDescent="0.3">
      <c r="A711" s="2">
        <v>46249</v>
      </c>
      <c r="B711" s="3" t="s">
        <v>6</v>
      </c>
      <c r="C711" s="3" t="s">
        <v>7</v>
      </c>
      <c r="D711" s="4">
        <v>114.31</v>
      </c>
    </row>
    <row r="712" spans="1:4" x14ac:dyDescent="0.3">
      <c r="A712" s="2">
        <v>46249</v>
      </c>
      <c r="B712" s="3" t="s">
        <v>8</v>
      </c>
      <c r="C712" s="3" t="s">
        <v>7</v>
      </c>
      <c r="D712" s="4">
        <v>26.94</v>
      </c>
    </row>
    <row r="713" spans="1:4" x14ac:dyDescent="0.3">
      <c r="A713" s="2">
        <v>46249</v>
      </c>
      <c r="B713" s="3" t="s">
        <v>12</v>
      </c>
      <c r="C713" s="3" t="s">
        <v>11</v>
      </c>
      <c r="D713" s="4">
        <v>163.05000000000001</v>
      </c>
    </row>
    <row r="714" spans="1:4" x14ac:dyDescent="0.3">
      <c r="A714" s="2">
        <v>46250</v>
      </c>
      <c r="B714" s="3" t="s">
        <v>8</v>
      </c>
      <c r="C714" s="3" t="s">
        <v>7</v>
      </c>
      <c r="D714" s="4">
        <v>44.53</v>
      </c>
    </row>
    <row r="715" spans="1:4" x14ac:dyDescent="0.3">
      <c r="A715" s="2">
        <v>46250</v>
      </c>
      <c r="B715" s="3" t="s">
        <v>12</v>
      </c>
      <c r="C715" s="3" t="s">
        <v>11</v>
      </c>
      <c r="D715" s="4">
        <v>199.29</v>
      </c>
    </row>
    <row r="716" spans="1:4" x14ac:dyDescent="0.3">
      <c r="A716" s="2">
        <v>46251</v>
      </c>
      <c r="B716" s="3" t="s">
        <v>8</v>
      </c>
      <c r="C716" s="3" t="s">
        <v>7</v>
      </c>
      <c r="D716" s="4">
        <v>49.69</v>
      </c>
    </row>
    <row r="717" spans="1:4" x14ac:dyDescent="0.3">
      <c r="A717" s="2">
        <v>46251</v>
      </c>
      <c r="B717" s="3" t="s">
        <v>14</v>
      </c>
      <c r="C717" s="3" t="s">
        <v>11</v>
      </c>
      <c r="D717" s="4">
        <v>130.88</v>
      </c>
    </row>
    <row r="718" spans="1:4" x14ac:dyDescent="0.3">
      <c r="A718" s="2">
        <v>46252</v>
      </c>
      <c r="B718" s="3" t="s">
        <v>6</v>
      </c>
      <c r="C718" s="3" t="s">
        <v>7</v>
      </c>
      <c r="D718" s="4">
        <v>103.59</v>
      </c>
    </row>
    <row r="719" spans="1:4" x14ac:dyDescent="0.3">
      <c r="A719" s="2">
        <v>46252</v>
      </c>
      <c r="B719" s="3" t="s">
        <v>8</v>
      </c>
      <c r="C719" s="3" t="s">
        <v>7</v>
      </c>
      <c r="D719" s="4">
        <v>17.07</v>
      </c>
    </row>
    <row r="720" spans="1:4" x14ac:dyDescent="0.3">
      <c r="A720" s="2">
        <v>46252</v>
      </c>
      <c r="B720" s="3" t="s">
        <v>9</v>
      </c>
      <c r="C720" s="3" t="s">
        <v>7</v>
      </c>
      <c r="D720" s="4">
        <v>255.92</v>
      </c>
    </row>
    <row r="721" spans="1:4" x14ac:dyDescent="0.3">
      <c r="A721" s="2">
        <v>46253</v>
      </c>
      <c r="B721" s="3" t="s">
        <v>10</v>
      </c>
      <c r="C721" s="3" t="s">
        <v>11</v>
      </c>
      <c r="D721" s="4">
        <v>132.24</v>
      </c>
    </row>
    <row r="722" spans="1:4" x14ac:dyDescent="0.3">
      <c r="A722" s="2">
        <v>46254</v>
      </c>
      <c r="B722" s="3" t="s">
        <v>8</v>
      </c>
      <c r="C722" s="3" t="s">
        <v>7</v>
      </c>
      <c r="D722" s="4">
        <v>20.96</v>
      </c>
    </row>
    <row r="723" spans="1:4" x14ac:dyDescent="0.3">
      <c r="A723" s="2">
        <v>46254</v>
      </c>
      <c r="B723" s="3" t="s">
        <v>10</v>
      </c>
      <c r="C723" s="3" t="s">
        <v>11</v>
      </c>
      <c r="D723" s="4">
        <v>330.5</v>
      </c>
    </row>
    <row r="724" spans="1:4" x14ac:dyDescent="0.3">
      <c r="A724" s="2">
        <v>46255</v>
      </c>
      <c r="B724" s="3" t="s">
        <v>6</v>
      </c>
      <c r="C724" s="3" t="s">
        <v>7</v>
      </c>
      <c r="D724" s="4">
        <v>88.26</v>
      </c>
    </row>
    <row r="725" spans="1:4" x14ac:dyDescent="0.3">
      <c r="A725" s="2">
        <v>46255</v>
      </c>
      <c r="B725" s="3" t="s">
        <v>12</v>
      </c>
      <c r="C725" s="3" t="s">
        <v>11</v>
      </c>
      <c r="D725" s="4">
        <v>373.29</v>
      </c>
    </row>
    <row r="726" spans="1:4" x14ac:dyDescent="0.3">
      <c r="A726" s="2">
        <v>46255</v>
      </c>
      <c r="B726" s="3" t="s">
        <v>9</v>
      </c>
      <c r="C726" s="3" t="s">
        <v>7</v>
      </c>
      <c r="D726" s="4">
        <v>103.68</v>
      </c>
    </row>
    <row r="727" spans="1:4" x14ac:dyDescent="0.3">
      <c r="C727" s="5" t="s">
        <v>15</v>
      </c>
      <c r="D727" s="6">
        <f>SUM(D2:D726)</f>
        <v>135220.23999999996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M10" sqref="A1:M10"/>
    </sheetView>
  </sheetViews>
  <sheetFormatPr defaultRowHeight="14.4" x14ac:dyDescent="0.3"/>
  <cols>
    <col min="1" max="1" width="16" customWidth="1"/>
    <col min="2" max="13" width="12" customWidth="1"/>
  </cols>
  <sheetData>
    <row r="1" spans="1:13" x14ac:dyDescent="0.3">
      <c r="A1" s="7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x14ac:dyDescent="0.3">
      <c r="A2" s="5" t="s">
        <v>6</v>
      </c>
      <c r="B2" s="4">
        <f>SUMIFS(Transactions!$D$2:$D$726,Transactions!$B$2:$B$726,$A2,Transactions!$A$2:$A$726,"&gt;="&amp;DATE(2025,9,1),Transactions!$A$2:$A$726,"&lt;"&amp;EDATE(DATE(2025,9,1),1))</f>
        <v>1596.1299999999999</v>
      </c>
      <c r="C2" s="4">
        <f>SUMIFS(Transactions!$D$2:$D$726,Transactions!$B$2:$B$726,$A2,Transactions!$A$2:$A$726,"&gt;="&amp;DATE(2025,10,1),Transactions!$A$2:$A$726,"&lt;"&amp;EDATE(DATE(2025,10,1),1))</f>
        <v>1057.3100000000002</v>
      </c>
      <c r="D2" s="4">
        <f>SUMIFS(Transactions!$D$2:$D$726,Transactions!$B$2:$B$726,$A2,Transactions!$A$2:$A$726,"&gt;="&amp;DATE(2025,11,1),Transactions!$A$2:$A$726,"&lt;"&amp;EDATE(DATE(2025,11,1),1))</f>
        <v>1310.5</v>
      </c>
      <c r="E2" s="4">
        <f>SUMIFS(Transactions!$D$2:$D$726,Transactions!$B$2:$B$726,$A2,Transactions!$A$2:$A$726,"&gt;="&amp;DATE(2025,12,1),Transactions!$A$2:$A$726,"&lt;"&amp;EDATE(DATE(2025,12,1),1))</f>
        <v>1500.4200000000003</v>
      </c>
      <c r="F2" s="4">
        <f>SUMIFS(Transactions!$D$2:$D$726,Transactions!$B$2:$B$726,$A2,Transactions!$A$2:$A$726,"&gt;="&amp;DATE(2026,1,1),Transactions!$A$2:$A$726,"&lt;"&amp;EDATE(DATE(2026,1,1),1))</f>
        <v>1373.7800000000002</v>
      </c>
      <c r="G2" s="4">
        <f>SUMIFS(Transactions!$D$2:$D$726,Transactions!$B$2:$B$726,$A2,Transactions!$A$2:$A$726,"&gt;="&amp;DATE(2026,2,1),Transactions!$A$2:$A$726,"&lt;"&amp;EDATE(DATE(2026,2,1),1))</f>
        <v>957.69999999999993</v>
      </c>
      <c r="H2" s="4">
        <f>SUMIFS(Transactions!$D$2:$D$726,Transactions!$B$2:$B$726,$A2,Transactions!$A$2:$A$726,"&gt;="&amp;DATE(2026,3,1),Transactions!$A$2:$A$726,"&lt;"&amp;EDATE(DATE(2026,3,1),1))</f>
        <v>1111.8300000000002</v>
      </c>
      <c r="I2" s="4">
        <f>SUMIFS(Transactions!$D$2:$D$726,Transactions!$B$2:$B$726,$A2,Transactions!$A$2:$A$726,"&gt;="&amp;DATE(2026,4,1),Transactions!$A$2:$A$726,"&lt;"&amp;EDATE(DATE(2026,4,1),1))</f>
        <v>1416.8</v>
      </c>
      <c r="J2" s="4">
        <f>SUMIFS(Transactions!$D$2:$D$726,Transactions!$B$2:$B$726,$A2,Transactions!$A$2:$A$726,"&gt;="&amp;DATE(2026,5,1),Transactions!$A$2:$A$726,"&lt;"&amp;EDATE(DATE(2026,5,1),1))</f>
        <v>1425.49</v>
      </c>
      <c r="K2" s="4">
        <f>SUMIFS(Transactions!$D$2:$D$726,Transactions!$B$2:$B$726,$A2,Transactions!$A$2:$A$726,"&gt;="&amp;DATE(2026,6,1),Transactions!$A$2:$A$726,"&lt;"&amp;EDATE(DATE(2026,6,1),1))</f>
        <v>1683.2000000000003</v>
      </c>
      <c r="L2" s="4">
        <f>SUMIFS(Transactions!$D$2:$D$726,Transactions!$B$2:$B$726,$A2,Transactions!$A$2:$A$726,"&gt;="&amp;DATE(2026,7,1),Transactions!$A$2:$A$726,"&lt;"&amp;EDATE(DATE(2026,7,1),1))</f>
        <v>1436.3099999999997</v>
      </c>
      <c r="M2" s="4">
        <f>SUMIFS(Transactions!$D$2:$D$726,Transactions!$B$2:$B$726,$A2,Transactions!$A$2:$A$726,"&gt;="&amp;DATE(2026,8,1),Transactions!$A$2:$A$726,"&lt;"&amp;EDATE(DATE(2026,8,1),1))</f>
        <v>1078.46</v>
      </c>
    </row>
    <row r="3" spans="1:13" x14ac:dyDescent="0.3">
      <c r="A3" s="5" t="s">
        <v>8</v>
      </c>
      <c r="B3" s="4">
        <f>SUMIFS(Transactions!$D$2:$D$726,Transactions!$B$2:$B$726,$A3,Transactions!$A$2:$A$726,"&gt;="&amp;DATE(2025,9,1),Transactions!$A$2:$A$726,"&lt;"&amp;EDATE(DATE(2025,9,1),1))</f>
        <v>705.49</v>
      </c>
      <c r="C3" s="4">
        <f>SUMIFS(Transactions!$D$2:$D$726,Transactions!$B$2:$B$726,$A3,Transactions!$A$2:$A$726,"&gt;="&amp;DATE(2025,10,1),Transactions!$A$2:$A$726,"&lt;"&amp;EDATE(DATE(2025,10,1),1))</f>
        <v>436.35</v>
      </c>
      <c r="D3" s="4">
        <f>SUMIFS(Transactions!$D$2:$D$726,Transactions!$B$2:$B$726,$A3,Transactions!$A$2:$A$726,"&gt;="&amp;DATE(2025,11,1),Transactions!$A$2:$A$726,"&lt;"&amp;EDATE(DATE(2025,11,1),1))</f>
        <v>530.5200000000001</v>
      </c>
      <c r="E3" s="4">
        <f>SUMIFS(Transactions!$D$2:$D$726,Transactions!$B$2:$B$726,$A3,Transactions!$A$2:$A$726,"&gt;="&amp;DATE(2025,12,1),Transactions!$A$2:$A$726,"&lt;"&amp;EDATE(DATE(2025,12,1),1))</f>
        <v>305.94</v>
      </c>
      <c r="F3" s="4">
        <f>SUMIFS(Transactions!$D$2:$D$726,Transactions!$B$2:$B$726,$A3,Transactions!$A$2:$A$726,"&gt;="&amp;DATE(2026,1,1),Transactions!$A$2:$A$726,"&lt;"&amp;EDATE(DATE(2026,1,1),1))</f>
        <v>476.48999999999995</v>
      </c>
      <c r="G3" s="4">
        <f>SUMIFS(Transactions!$D$2:$D$726,Transactions!$B$2:$B$726,$A3,Transactions!$A$2:$A$726,"&gt;="&amp;DATE(2026,2,1),Transactions!$A$2:$A$726,"&lt;"&amp;EDATE(DATE(2026,2,1),1))</f>
        <v>624.63</v>
      </c>
      <c r="H3" s="4">
        <f>SUMIFS(Transactions!$D$2:$D$726,Transactions!$B$2:$B$726,$A3,Transactions!$A$2:$A$726,"&gt;="&amp;DATE(2026,3,1),Transactions!$A$2:$A$726,"&lt;"&amp;EDATE(DATE(2026,3,1),1))</f>
        <v>655.78000000000009</v>
      </c>
      <c r="I3" s="4">
        <f>SUMIFS(Transactions!$D$2:$D$726,Transactions!$B$2:$B$726,$A3,Transactions!$A$2:$A$726,"&gt;="&amp;DATE(2026,4,1),Transactions!$A$2:$A$726,"&lt;"&amp;EDATE(DATE(2026,4,1),1))</f>
        <v>541.82999999999993</v>
      </c>
      <c r="J3" s="4">
        <f>SUMIFS(Transactions!$D$2:$D$726,Transactions!$B$2:$B$726,$A3,Transactions!$A$2:$A$726,"&gt;="&amp;DATE(2026,5,1),Transactions!$A$2:$A$726,"&lt;"&amp;EDATE(DATE(2026,5,1),1))</f>
        <v>484.59</v>
      </c>
      <c r="K3" s="4">
        <f>SUMIFS(Transactions!$D$2:$D$726,Transactions!$B$2:$B$726,$A3,Transactions!$A$2:$A$726,"&gt;="&amp;DATE(2026,6,1),Transactions!$A$2:$A$726,"&lt;"&amp;EDATE(DATE(2026,6,1),1))</f>
        <v>621.76</v>
      </c>
      <c r="L3" s="4">
        <f>SUMIFS(Transactions!$D$2:$D$726,Transactions!$B$2:$B$726,$A3,Transactions!$A$2:$A$726,"&gt;="&amp;DATE(2026,7,1),Transactions!$A$2:$A$726,"&lt;"&amp;EDATE(DATE(2026,7,1),1))</f>
        <v>832.03999999999985</v>
      </c>
      <c r="M3" s="4">
        <f>SUMIFS(Transactions!$D$2:$D$726,Transactions!$B$2:$B$726,$A3,Transactions!$A$2:$A$726,"&gt;="&amp;DATE(2026,8,1),Transactions!$A$2:$A$726,"&lt;"&amp;EDATE(DATE(2026,8,1),1))</f>
        <v>497.83</v>
      </c>
    </row>
    <row r="4" spans="1:13" x14ac:dyDescent="0.3">
      <c r="A4" s="5" t="s">
        <v>4</v>
      </c>
      <c r="B4" s="4">
        <f>SUMIFS(Transactions!$D$2:$D$726,Transactions!$B$2:$B$726,$A4,Transactions!$A$2:$A$726,"&gt;="&amp;DATE(2025,9,1),Transactions!$A$2:$A$726,"&lt;"&amp;EDATE(DATE(2025,9,1),1))</f>
        <v>3000</v>
      </c>
      <c r="C4" s="4">
        <f>SUMIFS(Transactions!$D$2:$D$726,Transactions!$B$2:$B$726,$A4,Transactions!$A$2:$A$726,"&gt;="&amp;DATE(2025,10,1),Transactions!$A$2:$A$726,"&lt;"&amp;EDATE(DATE(2025,10,1),1))</f>
        <v>3000</v>
      </c>
      <c r="D4" s="4">
        <f>SUMIFS(Transactions!$D$2:$D$726,Transactions!$B$2:$B$726,$A4,Transactions!$A$2:$A$726,"&gt;="&amp;DATE(2025,11,1),Transactions!$A$2:$A$726,"&lt;"&amp;EDATE(DATE(2025,11,1),1))</f>
        <v>3000</v>
      </c>
      <c r="E4" s="4">
        <f>SUMIFS(Transactions!$D$2:$D$726,Transactions!$B$2:$B$726,$A4,Transactions!$A$2:$A$726,"&gt;="&amp;DATE(2025,12,1),Transactions!$A$2:$A$726,"&lt;"&amp;EDATE(DATE(2025,12,1),1))</f>
        <v>3000</v>
      </c>
      <c r="F4" s="4">
        <f>SUMIFS(Transactions!$D$2:$D$726,Transactions!$B$2:$B$726,$A4,Transactions!$A$2:$A$726,"&gt;="&amp;DATE(2026,1,1),Transactions!$A$2:$A$726,"&lt;"&amp;EDATE(DATE(2026,1,1),1))</f>
        <v>3000</v>
      </c>
      <c r="G4" s="4">
        <f>SUMIFS(Transactions!$D$2:$D$726,Transactions!$B$2:$B$726,$A4,Transactions!$A$2:$A$726,"&gt;="&amp;DATE(2026,2,1),Transactions!$A$2:$A$726,"&lt;"&amp;EDATE(DATE(2026,2,1),1))</f>
        <v>3000</v>
      </c>
      <c r="H4" s="4">
        <f>SUMIFS(Transactions!$D$2:$D$726,Transactions!$B$2:$B$726,$A4,Transactions!$A$2:$A$726,"&gt;="&amp;DATE(2026,3,1),Transactions!$A$2:$A$726,"&lt;"&amp;EDATE(DATE(2026,3,1),1))</f>
        <v>3000</v>
      </c>
      <c r="I4" s="4">
        <f>SUMIFS(Transactions!$D$2:$D$726,Transactions!$B$2:$B$726,$A4,Transactions!$A$2:$A$726,"&gt;="&amp;DATE(2026,4,1),Transactions!$A$2:$A$726,"&lt;"&amp;EDATE(DATE(2026,4,1),1))</f>
        <v>3000</v>
      </c>
      <c r="J4" s="4">
        <f>SUMIFS(Transactions!$D$2:$D$726,Transactions!$B$2:$B$726,$A4,Transactions!$A$2:$A$726,"&gt;="&amp;DATE(2026,5,1),Transactions!$A$2:$A$726,"&lt;"&amp;EDATE(DATE(2026,5,1),1))</f>
        <v>3000</v>
      </c>
      <c r="K4" s="4">
        <f>SUMIFS(Transactions!$D$2:$D$726,Transactions!$B$2:$B$726,$A4,Transactions!$A$2:$A$726,"&gt;="&amp;DATE(2026,6,1),Transactions!$A$2:$A$726,"&lt;"&amp;EDATE(DATE(2026,6,1),1))</f>
        <v>3000</v>
      </c>
      <c r="L4" s="4">
        <f>SUMIFS(Transactions!$D$2:$D$726,Transactions!$B$2:$B$726,$A4,Transactions!$A$2:$A$726,"&gt;="&amp;DATE(2026,7,1),Transactions!$A$2:$A$726,"&lt;"&amp;EDATE(DATE(2026,7,1),1))</f>
        <v>3000</v>
      </c>
      <c r="M4" s="4">
        <f>SUMIFS(Transactions!$D$2:$D$726,Transactions!$B$2:$B$726,$A4,Transactions!$A$2:$A$726,"&gt;="&amp;DATE(2026,8,1),Transactions!$A$2:$A$726,"&lt;"&amp;EDATE(DATE(2026,8,1),1))</f>
        <v>3000</v>
      </c>
    </row>
    <row r="5" spans="1:13" x14ac:dyDescent="0.3">
      <c r="A5" s="5" t="s">
        <v>13</v>
      </c>
      <c r="B5" s="4">
        <f>SUMIFS(Transactions!$D$2:$D$726,Transactions!$B$2:$B$726,$A5,Transactions!$A$2:$A$726,"&gt;="&amp;DATE(2025,9,1),Transactions!$A$2:$A$726,"&lt;"&amp;EDATE(DATE(2025,9,1),1))</f>
        <v>209.16</v>
      </c>
      <c r="C5" s="4">
        <f>SUMIFS(Transactions!$D$2:$D$726,Transactions!$B$2:$B$726,$A5,Transactions!$A$2:$A$726,"&gt;="&amp;DATE(2025,10,1),Transactions!$A$2:$A$726,"&lt;"&amp;EDATE(DATE(2025,10,1),1))</f>
        <v>200.71</v>
      </c>
      <c r="D5" s="4">
        <f>SUMIFS(Transactions!$D$2:$D$726,Transactions!$B$2:$B$726,$A5,Transactions!$A$2:$A$726,"&gt;="&amp;DATE(2025,11,1),Transactions!$A$2:$A$726,"&lt;"&amp;EDATE(DATE(2025,11,1),1))</f>
        <v>312.79000000000002</v>
      </c>
      <c r="E5" s="4">
        <f>SUMIFS(Transactions!$D$2:$D$726,Transactions!$B$2:$B$726,$A5,Transactions!$A$2:$A$726,"&gt;="&amp;DATE(2025,12,1),Transactions!$A$2:$A$726,"&lt;"&amp;EDATE(DATE(2025,12,1),1))</f>
        <v>339.65</v>
      </c>
      <c r="F5" s="4">
        <f>SUMIFS(Transactions!$D$2:$D$726,Transactions!$B$2:$B$726,$A5,Transactions!$A$2:$A$726,"&gt;="&amp;DATE(2026,1,1),Transactions!$A$2:$A$726,"&lt;"&amp;EDATE(DATE(2026,1,1),1))</f>
        <v>279.63</v>
      </c>
      <c r="G5" s="4">
        <f>SUMIFS(Transactions!$D$2:$D$726,Transactions!$B$2:$B$726,$A5,Transactions!$A$2:$A$726,"&gt;="&amp;DATE(2026,2,1),Transactions!$A$2:$A$726,"&lt;"&amp;EDATE(DATE(2026,2,1),1))</f>
        <v>212.37</v>
      </c>
      <c r="H5" s="4">
        <f>SUMIFS(Transactions!$D$2:$D$726,Transactions!$B$2:$B$726,$A5,Transactions!$A$2:$A$726,"&gt;="&amp;DATE(2026,3,1),Transactions!$A$2:$A$726,"&lt;"&amp;EDATE(DATE(2026,3,1),1))</f>
        <v>337.95</v>
      </c>
      <c r="I5" s="4">
        <f>SUMIFS(Transactions!$D$2:$D$726,Transactions!$B$2:$B$726,$A5,Transactions!$A$2:$A$726,"&gt;="&amp;DATE(2026,4,1),Transactions!$A$2:$A$726,"&lt;"&amp;EDATE(DATE(2026,4,1),1))</f>
        <v>234.1</v>
      </c>
      <c r="J5" s="4">
        <f>SUMIFS(Transactions!$D$2:$D$726,Transactions!$B$2:$B$726,$A5,Transactions!$A$2:$A$726,"&gt;="&amp;DATE(2026,5,1),Transactions!$A$2:$A$726,"&lt;"&amp;EDATE(DATE(2026,5,1),1))</f>
        <v>269.23</v>
      </c>
      <c r="K5" s="4">
        <f>SUMIFS(Transactions!$D$2:$D$726,Transactions!$B$2:$B$726,$A5,Transactions!$A$2:$A$726,"&gt;="&amp;DATE(2026,6,1),Transactions!$A$2:$A$726,"&lt;"&amp;EDATE(DATE(2026,6,1),1))</f>
        <v>342.34</v>
      </c>
      <c r="L5" s="4">
        <f>SUMIFS(Transactions!$D$2:$D$726,Transactions!$B$2:$B$726,$A5,Transactions!$A$2:$A$726,"&gt;="&amp;DATE(2026,7,1),Transactions!$A$2:$A$726,"&lt;"&amp;EDATE(DATE(2026,7,1),1))</f>
        <v>269.72000000000003</v>
      </c>
      <c r="M5" s="4">
        <f>SUMIFS(Transactions!$D$2:$D$726,Transactions!$B$2:$B$726,$A5,Transactions!$A$2:$A$726,"&gt;="&amp;DATE(2026,8,1),Transactions!$A$2:$A$726,"&lt;"&amp;EDATE(DATE(2026,8,1),1))</f>
        <v>344.06</v>
      </c>
    </row>
    <row r="6" spans="1:13" x14ac:dyDescent="0.3">
      <c r="A6" s="5" t="s">
        <v>14</v>
      </c>
      <c r="B6" s="4">
        <f>SUMIFS(Transactions!$D$2:$D$726,Transactions!$B$2:$B$726,$A6,Transactions!$A$2:$A$726,"&gt;="&amp;DATE(2025,9,1),Transactions!$A$2:$A$726,"&lt;"&amp;EDATE(DATE(2025,9,1),1))</f>
        <v>1516.48</v>
      </c>
      <c r="C6" s="4">
        <f>SUMIFS(Transactions!$D$2:$D$726,Transactions!$B$2:$B$726,$A6,Transactions!$A$2:$A$726,"&gt;="&amp;DATE(2025,10,1),Transactions!$A$2:$A$726,"&lt;"&amp;EDATE(DATE(2025,10,1),1))</f>
        <v>1369.04</v>
      </c>
      <c r="D6" s="4">
        <f>SUMIFS(Transactions!$D$2:$D$726,Transactions!$B$2:$B$726,$A6,Transactions!$A$2:$A$726,"&gt;="&amp;DATE(2025,11,1),Transactions!$A$2:$A$726,"&lt;"&amp;EDATE(DATE(2025,11,1),1))</f>
        <v>672.13</v>
      </c>
      <c r="E6" s="4">
        <f>SUMIFS(Transactions!$D$2:$D$726,Transactions!$B$2:$B$726,$A6,Transactions!$A$2:$A$726,"&gt;="&amp;DATE(2025,12,1),Transactions!$A$2:$A$726,"&lt;"&amp;EDATE(DATE(2025,12,1),1))</f>
        <v>797.8</v>
      </c>
      <c r="F6" s="4">
        <f>SUMIFS(Transactions!$D$2:$D$726,Transactions!$B$2:$B$726,$A6,Transactions!$A$2:$A$726,"&gt;="&amp;DATE(2026,1,1),Transactions!$A$2:$A$726,"&lt;"&amp;EDATE(DATE(2026,1,1),1))</f>
        <v>2347.16</v>
      </c>
      <c r="G6" s="4">
        <f>SUMIFS(Transactions!$D$2:$D$726,Transactions!$B$2:$B$726,$A6,Transactions!$A$2:$A$726,"&gt;="&amp;DATE(2026,2,1),Transactions!$A$2:$A$726,"&lt;"&amp;EDATE(DATE(2026,2,1),1))</f>
        <v>1178.76</v>
      </c>
      <c r="H6" s="4">
        <f>SUMIFS(Transactions!$D$2:$D$726,Transactions!$B$2:$B$726,$A6,Transactions!$A$2:$A$726,"&gt;="&amp;DATE(2026,3,1),Transactions!$A$2:$A$726,"&lt;"&amp;EDATE(DATE(2026,3,1),1))</f>
        <v>1236.4199999999998</v>
      </c>
      <c r="I6" s="4">
        <f>SUMIFS(Transactions!$D$2:$D$726,Transactions!$B$2:$B$726,$A6,Transactions!$A$2:$A$726,"&gt;="&amp;DATE(2026,4,1),Transactions!$A$2:$A$726,"&lt;"&amp;EDATE(DATE(2026,4,1),1))</f>
        <v>1307.68</v>
      </c>
      <c r="J6" s="4">
        <f>SUMIFS(Transactions!$D$2:$D$726,Transactions!$B$2:$B$726,$A6,Transactions!$A$2:$A$726,"&gt;="&amp;DATE(2026,5,1),Transactions!$A$2:$A$726,"&lt;"&amp;EDATE(DATE(2026,5,1),1))</f>
        <v>1526.02</v>
      </c>
      <c r="K6" s="4">
        <f>SUMIFS(Transactions!$D$2:$D$726,Transactions!$B$2:$B$726,$A6,Transactions!$A$2:$A$726,"&gt;="&amp;DATE(2026,6,1),Transactions!$A$2:$A$726,"&lt;"&amp;EDATE(DATE(2026,6,1),1))</f>
        <v>1266.3399999999999</v>
      </c>
      <c r="L6" s="4">
        <f>SUMIFS(Transactions!$D$2:$D$726,Transactions!$B$2:$B$726,$A6,Transactions!$A$2:$A$726,"&gt;="&amp;DATE(2026,7,1),Transactions!$A$2:$A$726,"&lt;"&amp;EDATE(DATE(2026,7,1),1))</f>
        <v>547.81000000000006</v>
      </c>
      <c r="M6" s="4">
        <f>SUMIFS(Transactions!$D$2:$D$726,Transactions!$B$2:$B$726,$A6,Transactions!$A$2:$A$726,"&gt;="&amp;DATE(2026,8,1),Transactions!$A$2:$A$726,"&lt;"&amp;EDATE(DATE(2026,8,1),1))</f>
        <v>564.61</v>
      </c>
    </row>
    <row r="7" spans="1:13" x14ac:dyDescent="0.3">
      <c r="A7" s="5" t="s">
        <v>12</v>
      </c>
      <c r="B7" s="4">
        <f>SUMIFS(Transactions!$D$2:$D$726,Transactions!$B$2:$B$726,$A7,Transactions!$A$2:$A$726,"&gt;="&amp;DATE(2025,9,1),Transactions!$A$2:$A$726,"&lt;"&amp;EDATE(DATE(2025,9,1),1))</f>
        <v>1778.71</v>
      </c>
      <c r="C7" s="4">
        <f>SUMIFS(Transactions!$D$2:$D$726,Transactions!$B$2:$B$726,$A7,Transactions!$A$2:$A$726,"&gt;="&amp;DATE(2025,10,1),Transactions!$A$2:$A$726,"&lt;"&amp;EDATE(DATE(2025,10,1),1))</f>
        <v>1569.89</v>
      </c>
      <c r="D7" s="4">
        <f>SUMIFS(Transactions!$D$2:$D$726,Transactions!$B$2:$B$726,$A7,Transactions!$A$2:$A$726,"&gt;="&amp;DATE(2025,11,1),Transactions!$A$2:$A$726,"&lt;"&amp;EDATE(DATE(2025,11,1),1))</f>
        <v>1558.79</v>
      </c>
      <c r="E7" s="4">
        <f>SUMIFS(Transactions!$D$2:$D$726,Transactions!$B$2:$B$726,$A7,Transactions!$A$2:$A$726,"&gt;="&amp;DATE(2025,12,1),Transactions!$A$2:$A$726,"&lt;"&amp;EDATE(DATE(2025,12,1),1))</f>
        <v>2375.2400000000002</v>
      </c>
      <c r="F7" s="4">
        <f>SUMIFS(Transactions!$D$2:$D$726,Transactions!$B$2:$B$726,$A7,Transactions!$A$2:$A$726,"&gt;="&amp;DATE(2026,1,1),Transactions!$A$2:$A$726,"&lt;"&amp;EDATE(DATE(2026,1,1),1))</f>
        <v>4048.73</v>
      </c>
      <c r="G7" s="4">
        <f>SUMIFS(Transactions!$D$2:$D$726,Transactions!$B$2:$B$726,$A7,Transactions!$A$2:$A$726,"&gt;="&amp;DATE(2026,2,1),Transactions!$A$2:$A$726,"&lt;"&amp;EDATE(DATE(2026,2,1),1))</f>
        <v>1097.3399999999999</v>
      </c>
      <c r="H7" s="4">
        <f>SUMIFS(Transactions!$D$2:$D$726,Transactions!$B$2:$B$726,$A7,Transactions!$A$2:$A$726,"&gt;="&amp;DATE(2026,3,1),Transactions!$A$2:$A$726,"&lt;"&amp;EDATE(DATE(2026,3,1),1))</f>
        <v>2035.4700000000003</v>
      </c>
      <c r="I7" s="4">
        <f>SUMIFS(Transactions!$D$2:$D$726,Transactions!$B$2:$B$726,$A7,Transactions!$A$2:$A$726,"&gt;="&amp;DATE(2026,4,1),Transactions!$A$2:$A$726,"&lt;"&amp;EDATE(DATE(2026,4,1),1))</f>
        <v>2828.72</v>
      </c>
      <c r="J7" s="4">
        <f>SUMIFS(Transactions!$D$2:$D$726,Transactions!$B$2:$B$726,$A7,Transactions!$A$2:$A$726,"&gt;="&amp;DATE(2026,5,1),Transactions!$A$2:$A$726,"&lt;"&amp;EDATE(DATE(2026,5,1),1))</f>
        <v>1001.8699999999999</v>
      </c>
      <c r="K7" s="4">
        <f>SUMIFS(Transactions!$D$2:$D$726,Transactions!$B$2:$B$726,$A7,Transactions!$A$2:$A$726,"&gt;="&amp;DATE(2026,6,1),Transactions!$A$2:$A$726,"&lt;"&amp;EDATE(DATE(2026,6,1),1))</f>
        <v>1520.96</v>
      </c>
      <c r="L7" s="4">
        <f>SUMIFS(Transactions!$D$2:$D$726,Transactions!$B$2:$B$726,$A7,Transactions!$A$2:$A$726,"&gt;="&amp;DATE(2026,7,1),Transactions!$A$2:$A$726,"&lt;"&amp;EDATE(DATE(2026,7,1),1))</f>
        <v>3856.44</v>
      </c>
      <c r="M7" s="4">
        <f>SUMIFS(Transactions!$D$2:$D$726,Transactions!$B$2:$B$726,$A7,Transactions!$A$2:$A$726,"&gt;="&amp;DATE(2026,8,1),Transactions!$A$2:$A$726,"&lt;"&amp;EDATE(DATE(2026,8,1),1))</f>
        <v>2347.11</v>
      </c>
    </row>
    <row r="8" spans="1:13" x14ac:dyDescent="0.3">
      <c r="A8" s="5" t="s">
        <v>9</v>
      </c>
      <c r="B8" s="4">
        <f>SUMIFS(Transactions!$D$2:$D$726,Transactions!$B$2:$B$726,$A8,Transactions!$A$2:$A$726,"&gt;="&amp;DATE(2025,9,1),Transactions!$A$2:$A$726,"&lt;"&amp;EDATE(DATE(2025,9,1),1))</f>
        <v>1320.47</v>
      </c>
      <c r="C8" s="4">
        <f>SUMIFS(Transactions!$D$2:$D$726,Transactions!$B$2:$B$726,$A8,Transactions!$A$2:$A$726,"&gt;="&amp;DATE(2025,10,1),Transactions!$A$2:$A$726,"&lt;"&amp;EDATE(DATE(2025,10,1),1))</f>
        <v>1035.0899999999999</v>
      </c>
      <c r="D8" s="4">
        <f>SUMIFS(Transactions!$D$2:$D$726,Transactions!$B$2:$B$726,$A8,Transactions!$A$2:$A$726,"&gt;="&amp;DATE(2025,11,1),Transactions!$A$2:$A$726,"&lt;"&amp;EDATE(DATE(2025,11,1),1))</f>
        <v>1367.72</v>
      </c>
      <c r="E8" s="4">
        <f>SUMIFS(Transactions!$D$2:$D$726,Transactions!$B$2:$B$726,$A8,Transactions!$A$2:$A$726,"&gt;="&amp;DATE(2025,12,1),Transactions!$A$2:$A$726,"&lt;"&amp;EDATE(DATE(2025,12,1),1))</f>
        <v>290.72000000000003</v>
      </c>
      <c r="F8" s="4">
        <f>SUMIFS(Transactions!$D$2:$D$726,Transactions!$B$2:$B$726,$A8,Transactions!$A$2:$A$726,"&gt;="&amp;DATE(2026,1,1),Transactions!$A$2:$A$726,"&lt;"&amp;EDATE(DATE(2026,1,1),1))</f>
        <v>1193.73</v>
      </c>
      <c r="G8" s="4">
        <f>SUMIFS(Transactions!$D$2:$D$726,Transactions!$B$2:$B$726,$A8,Transactions!$A$2:$A$726,"&gt;="&amp;DATE(2026,2,1),Transactions!$A$2:$A$726,"&lt;"&amp;EDATE(DATE(2026,2,1),1))</f>
        <v>868.95</v>
      </c>
      <c r="H8" s="4">
        <f>SUMIFS(Transactions!$D$2:$D$726,Transactions!$B$2:$B$726,$A8,Transactions!$A$2:$A$726,"&gt;="&amp;DATE(2026,3,1),Transactions!$A$2:$A$726,"&lt;"&amp;EDATE(DATE(2026,3,1),1))</f>
        <v>1002.29</v>
      </c>
      <c r="I8" s="4">
        <f>SUMIFS(Transactions!$D$2:$D$726,Transactions!$B$2:$B$726,$A8,Transactions!$A$2:$A$726,"&gt;="&amp;DATE(2026,4,1),Transactions!$A$2:$A$726,"&lt;"&amp;EDATE(DATE(2026,4,1),1))</f>
        <v>1278.47</v>
      </c>
      <c r="J8" s="4">
        <f>SUMIFS(Transactions!$D$2:$D$726,Transactions!$B$2:$B$726,$A8,Transactions!$A$2:$A$726,"&gt;="&amp;DATE(2026,5,1),Transactions!$A$2:$A$726,"&lt;"&amp;EDATE(DATE(2026,5,1),1))</f>
        <v>1706.7900000000002</v>
      </c>
      <c r="K8" s="4">
        <f>SUMIFS(Transactions!$D$2:$D$726,Transactions!$B$2:$B$726,$A8,Transactions!$A$2:$A$726,"&gt;="&amp;DATE(2026,6,1),Transactions!$A$2:$A$726,"&lt;"&amp;EDATE(DATE(2026,6,1),1))</f>
        <v>1353.52</v>
      </c>
      <c r="L8" s="4">
        <f>SUMIFS(Transactions!$D$2:$D$726,Transactions!$B$2:$B$726,$A8,Transactions!$A$2:$A$726,"&gt;="&amp;DATE(2026,7,1),Transactions!$A$2:$A$726,"&lt;"&amp;EDATE(DATE(2026,7,1),1))</f>
        <v>1322.9799999999998</v>
      </c>
      <c r="M8" s="4">
        <f>SUMIFS(Transactions!$D$2:$D$726,Transactions!$B$2:$B$726,$A8,Transactions!$A$2:$A$726,"&gt;="&amp;DATE(2026,8,1),Transactions!$A$2:$A$726,"&lt;"&amp;EDATE(DATE(2026,8,1),1))</f>
        <v>1384.16</v>
      </c>
    </row>
    <row r="9" spans="1:13" x14ac:dyDescent="0.3">
      <c r="A9" s="5" t="s">
        <v>10</v>
      </c>
      <c r="B9" s="4">
        <f>SUMIFS(Transactions!$D$2:$D$726,Transactions!$B$2:$B$726,$A9,Transactions!$A$2:$A$726,"&gt;="&amp;DATE(2025,9,1),Transactions!$A$2:$A$726,"&lt;"&amp;EDATE(DATE(2025,9,1),1))</f>
        <v>1826.76</v>
      </c>
      <c r="C9" s="4">
        <f>SUMIFS(Transactions!$D$2:$D$726,Transactions!$B$2:$B$726,$A9,Transactions!$A$2:$A$726,"&gt;="&amp;DATE(2025,10,1),Transactions!$A$2:$A$726,"&lt;"&amp;EDATE(DATE(2025,10,1),1))</f>
        <v>1536.92</v>
      </c>
      <c r="D9" s="4">
        <f>SUMIFS(Transactions!$D$2:$D$726,Transactions!$B$2:$B$726,$A9,Transactions!$A$2:$A$726,"&gt;="&amp;DATE(2025,11,1),Transactions!$A$2:$A$726,"&lt;"&amp;EDATE(DATE(2025,11,1),1))</f>
        <v>2360.1600000000003</v>
      </c>
      <c r="E9" s="4">
        <f>SUMIFS(Transactions!$D$2:$D$726,Transactions!$B$2:$B$726,$A9,Transactions!$A$2:$A$726,"&gt;="&amp;DATE(2025,12,1),Transactions!$A$2:$A$726,"&lt;"&amp;EDATE(DATE(2025,12,1),1))</f>
        <v>1822.65</v>
      </c>
      <c r="F9" s="4">
        <f>SUMIFS(Transactions!$D$2:$D$726,Transactions!$B$2:$B$726,$A9,Transactions!$A$2:$A$726,"&gt;="&amp;DATE(2026,1,1),Transactions!$A$2:$A$726,"&lt;"&amp;EDATE(DATE(2026,1,1),1))</f>
        <v>1341.74</v>
      </c>
      <c r="G9" s="4">
        <f>SUMIFS(Transactions!$D$2:$D$726,Transactions!$B$2:$B$726,$A9,Transactions!$A$2:$A$726,"&gt;="&amp;DATE(2026,2,1),Transactions!$A$2:$A$726,"&lt;"&amp;EDATE(DATE(2026,2,1),1))</f>
        <v>2814.45</v>
      </c>
      <c r="H9" s="4">
        <f>SUMIFS(Transactions!$D$2:$D$726,Transactions!$B$2:$B$726,$A9,Transactions!$A$2:$A$726,"&gt;="&amp;DATE(2026,3,1),Transactions!$A$2:$A$726,"&lt;"&amp;EDATE(DATE(2026,3,1),1))</f>
        <v>1337.38</v>
      </c>
      <c r="I9" s="4">
        <f>SUMIFS(Transactions!$D$2:$D$726,Transactions!$B$2:$B$726,$A9,Transactions!$A$2:$A$726,"&gt;="&amp;DATE(2026,4,1),Transactions!$A$2:$A$726,"&lt;"&amp;EDATE(DATE(2026,4,1),1))</f>
        <v>885.07999999999993</v>
      </c>
      <c r="J9" s="4">
        <f>SUMIFS(Transactions!$D$2:$D$726,Transactions!$B$2:$B$726,$A9,Transactions!$A$2:$A$726,"&gt;="&amp;DATE(2026,5,1),Transactions!$A$2:$A$726,"&lt;"&amp;EDATE(DATE(2026,5,1),1))</f>
        <v>1017.64</v>
      </c>
      <c r="K9" s="4">
        <f>SUMIFS(Transactions!$D$2:$D$726,Transactions!$B$2:$B$726,$A9,Transactions!$A$2:$A$726,"&gt;="&amp;DATE(2026,6,1),Transactions!$A$2:$A$726,"&lt;"&amp;EDATE(DATE(2026,6,1),1))</f>
        <v>1249.9099999999999</v>
      </c>
      <c r="L9" s="4">
        <f>SUMIFS(Transactions!$D$2:$D$726,Transactions!$B$2:$B$726,$A9,Transactions!$A$2:$A$726,"&gt;="&amp;DATE(2026,7,1),Transactions!$A$2:$A$726,"&lt;"&amp;EDATE(DATE(2026,7,1),1))</f>
        <v>1151.4299999999998</v>
      </c>
      <c r="M9" s="4">
        <f>SUMIFS(Transactions!$D$2:$D$726,Transactions!$B$2:$B$726,$A9,Transactions!$A$2:$A$726,"&gt;="&amp;DATE(2026,8,1),Transactions!$A$2:$A$726,"&lt;"&amp;EDATE(DATE(2026,8,1),1))</f>
        <v>1388.8200000000002</v>
      </c>
    </row>
    <row r="10" spans="1:13" x14ac:dyDescent="0.3">
      <c r="A10" s="5" t="s">
        <v>28</v>
      </c>
      <c r="B10" s="8">
        <f t="shared" ref="B10:M10" si="0">SUM(B2:B9)</f>
        <v>11953.2</v>
      </c>
      <c r="C10" s="8">
        <f t="shared" si="0"/>
        <v>10205.31</v>
      </c>
      <c r="D10" s="8">
        <f t="shared" si="0"/>
        <v>11112.61</v>
      </c>
      <c r="E10" s="8">
        <f t="shared" si="0"/>
        <v>10432.42</v>
      </c>
      <c r="F10" s="8">
        <f t="shared" si="0"/>
        <v>14061.26</v>
      </c>
      <c r="G10" s="8">
        <f t="shared" si="0"/>
        <v>10754.2</v>
      </c>
      <c r="H10" s="8">
        <f t="shared" si="0"/>
        <v>10717.120000000003</v>
      </c>
      <c r="I10" s="8">
        <f t="shared" si="0"/>
        <v>11492.68</v>
      </c>
      <c r="J10" s="8">
        <f t="shared" si="0"/>
        <v>10431.629999999999</v>
      </c>
      <c r="K10" s="8">
        <f t="shared" si="0"/>
        <v>11038.03</v>
      </c>
      <c r="L10" s="8">
        <f t="shared" si="0"/>
        <v>12416.73</v>
      </c>
      <c r="M10" s="8">
        <f t="shared" si="0"/>
        <v>10605.05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9C50-A60B-4E7D-802A-B8A8981EDA7F}">
  <dimension ref="A1:M10"/>
  <sheetViews>
    <sheetView tabSelected="1" workbookViewId="0">
      <selection activeCell="B10" sqref="B10"/>
    </sheetView>
  </sheetViews>
  <sheetFormatPr defaultRowHeight="14.4" x14ac:dyDescent="0.3"/>
  <cols>
    <col min="2" max="2" width="21.44140625" customWidth="1"/>
    <col min="3" max="3" width="13.77734375" customWidth="1"/>
    <col min="4" max="4" width="14.88671875" customWidth="1"/>
    <col min="5" max="5" width="19.6640625" customWidth="1"/>
  </cols>
  <sheetData>
    <row r="1" spans="1:13" x14ac:dyDescent="0.3">
      <c r="A1" s="7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</row>
    <row r="2" spans="1:13" x14ac:dyDescent="0.3">
      <c r="A2" s="5" t="s">
        <v>6</v>
      </c>
      <c r="B2" s="4">
        <f>SUMIFS(Transactions!$D$2:$D$726,Transactions!$B$2:$B$726,$A2,Transactions!$A$2:$A$726,"&gt;="&amp;DATE(2025,9,1),Transactions!$A$2:$A$726,"&lt;"&amp;EDATE(DATE(2025,9,1),1))</f>
        <v>1596.1299999999999</v>
      </c>
      <c r="C2" s="4">
        <f>SUMIFS(Transactions!$D$2:$D$726,Transactions!$B$2:$B$726,$A2,Transactions!$A$2:$A$726,"&gt;="&amp;DATE(2025,10,1),Transactions!$A$2:$A$726,"&lt;"&amp;EDATE(DATE(2025,10,1),1))</f>
        <v>1057.3100000000002</v>
      </c>
      <c r="D2" s="4">
        <f>SUMIFS(Transactions!$D$2:$D$726,Transactions!$B$2:$B$726,$A2,Transactions!$A$2:$A$726,"&gt;="&amp;DATE(2025,11,1),Transactions!$A$2:$A$726,"&lt;"&amp;EDATE(DATE(2025,11,1),1))</f>
        <v>1310.5</v>
      </c>
      <c r="E2" s="4">
        <f>SUMIFS(Transactions!$D$2:$D$726,Transactions!$B$2:$B$726,$A2,Transactions!$A$2:$A$726,"&gt;="&amp;DATE(2025,12,1),Transactions!$A$2:$A$726,"&lt;"&amp;EDATE(DATE(2025,12,1),1))</f>
        <v>1500.4200000000003</v>
      </c>
      <c r="F2" s="4">
        <f>SUMIFS(Transactions!$D$2:$D$726,Transactions!$B$2:$B$726,$A2,Transactions!$A$2:$A$726,"&gt;="&amp;DATE(2026,1,1),Transactions!$A$2:$A$726,"&lt;"&amp;EDATE(DATE(2026,1,1),1))</f>
        <v>1373.7800000000002</v>
      </c>
      <c r="G2" s="4">
        <f>SUMIFS(Transactions!$D$2:$D$726,Transactions!$B$2:$B$726,$A2,Transactions!$A$2:$A$726,"&gt;="&amp;DATE(2026,2,1),Transactions!$A$2:$A$726,"&lt;"&amp;EDATE(DATE(2026,2,1),1))</f>
        <v>957.69999999999993</v>
      </c>
      <c r="H2" s="4">
        <f>SUMIFS(Transactions!$D$2:$D$726,Transactions!$B$2:$B$726,$A2,Transactions!$A$2:$A$726,"&gt;="&amp;DATE(2026,3,1),Transactions!$A$2:$A$726,"&lt;"&amp;EDATE(DATE(2026,3,1),1))</f>
        <v>1111.8300000000002</v>
      </c>
      <c r="I2" s="4">
        <f>SUMIFS(Transactions!$D$2:$D$726,Transactions!$B$2:$B$726,$A2,Transactions!$A$2:$A$726,"&gt;="&amp;DATE(2026,4,1),Transactions!$A$2:$A$726,"&lt;"&amp;EDATE(DATE(2026,4,1),1))</f>
        <v>1416.8</v>
      </c>
      <c r="J2" s="4">
        <f>SUMIFS(Transactions!$D$2:$D$726,Transactions!$B$2:$B$726,$A2,Transactions!$A$2:$A$726,"&gt;="&amp;DATE(2026,5,1),Transactions!$A$2:$A$726,"&lt;"&amp;EDATE(DATE(2026,5,1),1))</f>
        <v>1425.49</v>
      </c>
      <c r="K2" s="4">
        <f>SUMIFS(Transactions!$D$2:$D$726,Transactions!$B$2:$B$726,$A2,Transactions!$A$2:$A$726,"&gt;="&amp;DATE(2026,6,1),Transactions!$A$2:$A$726,"&lt;"&amp;EDATE(DATE(2026,6,1),1))</f>
        <v>1683.2000000000003</v>
      </c>
      <c r="L2" s="4">
        <f>SUMIFS(Transactions!$D$2:$D$726,Transactions!$B$2:$B$726,$A2,Transactions!$A$2:$A$726,"&gt;="&amp;DATE(2026,7,1),Transactions!$A$2:$A$726,"&lt;"&amp;EDATE(DATE(2026,7,1),1))</f>
        <v>1436.3099999999997</v>
      </c>
      <c r="M2" s="4">
        <f>SUMIFS(Transactions!$D$2:$D$726,Transactions!$B$2:$B$726,$A2,Transactions!$A$2:$A$726,"&gt;="&amp;DATE(2026,8,1),Transactions!$A$2:$A$726,"&lt;"&amp;EDATE(DATE(2026,8,1),1))</f>
        <v>1078.46</v>
      </c>
    </row>
    <row r="3" spans="1:13" x14ac:dyDescent="0.3">
      <c r="A3" s="5" t="s">
        <v>8</v>
      </c>
      <c r="B3" s="4">
        <f>SUMIFS(Transactions!$D$2:$D$726,Transactions!$B$2:$B$726,$A3,Transactions!$A$2:$A$726,"&gt;="&amp;DATE(2025,9,1),Transactions!$A$2:$A$726,"&lt;"&amp;EDATE(DATE(2025,9,1),1))</f>
        <v>705.49</v>
      </c>
      <c r="C3" s="4">
        <f>SUMIFS(Transactions!$D$2:$D$726,Transactions!$B$2:$B$726,$A3,Transactions!$A$2:$A$726,"&gt;="&amp;DATE(2025,10,1),Transactions!$A$2:$A$726,"&lt;"&amp;EDATE(DATE(2025,10,1),1))</f>
        <v>436.35</v>
      </c>
      <c r="D3" s="4">
        <f>SUMIFS(Transactions!$D$2:$D$726,Transactions!$B$2:$B$726,$A3,Transactions!$A$2:$A$726,"&gt;="&amp;DATE(2025,11,1),Transactions!$A$2:$A$726,"&lt;"&amp;EDATE(DATE(2025,11,1),1))</f>
        <v>530.5200000000001</v>
      </c>
      <c r="E3" s="4">
        <f>SUMIFS(Transactions!$D$2:$D$726,Transactions!$B$2:$B$726,$A3,Transactions!$A$2:$A$726,"&gt;="&amp;DATE(2025,12,1),Transactions!$A$2:$A$726,"&lt;"&amp;EDATE(DATE(2025,12,1),1))</f>
        <v>305.94</v>
      </c>
      <c r="F3" s="4">
        <f>SUMIFS(Transactions!$D$2:$D$726,Transactions!$B$2:$B$726,$A3,Transactions!$A$2:$A$726,"&gt;="&amp;DATE(2026,1,1),Transactions!$A$2:$A$726,"&lt;"&amp;EDATE(DATE(2026,1,1),1))</f>
        <v>476.48999999999995</v>
      </c>
      <c r="G3" s="4">
        <f>SUMIFS(Transactions!$D$2:$D$726,Transactions!$B$2:$B$726,$A3,Transactions!$A$2:$A$726,"&gt;="&amp;DATE(2026,2,1),Transactions!$A$2:$A$726,"&lt;"&amp;EDATE(DATE(2026,2,1),1))</f>
        <v>624.63</v>
      </c>
      <c r="H3" s="4">
        <f>SUMIFS(Transactions!$D$2:$D$726,Transactions!$B$2:$B$726,$A3,Transactions!$A$2:$A$726,"&gt;="&amp;DATE(2026,3,1),Transactions!$A$2:$A$726,"&lt;"&amp;EDATE(DATE(2026,3,1),1))</f>
        <v>655.78000000000009</v>
      </c>
      <c r="I3" s="4">
        <f>SUMIFS(Transactions!$D$2:$D$726,Transactions!$B$2:$B$726,$A3,Transactions!$A$2:$A$726,"&gt;="&amp;DATE(2026,4,1),Transactions!$A$2:$A$726,"&lt;"&amp;EDATE(DATE(2026,4,1),1))</f>
        <v>541.82999999999993</v>
      </c>
      <c r="J3" s="4">
        <f>SUMIFS(Transactions!$D$2:$D$726,Transactions!$B$2:$B$726,$A3,Transactions!$A$2:$A$726,"&gt;="&amp;DATE(2026,5,1),Transactions!$A$2:$A$726,"&lt;"&amp;EDATE(DATE(2026,5,1),1))</f>
        <v>484.59</v>
      </c>
      <c r="K3" s="4">
        <f>SUMIFS(Transactions!$D$2:$D$726,Transactions!$B$2:$B$726,$A3,Transactions!$A$2:$A$726,"&gt;="&amp;DATE(2026,6,1),Transactions!$A$2:$A$726,"&lt;"&amp;EDATE(DATE(2026,6,1),1))</f>
        <v>621.76</v>
      </c>
      <c r="L3" s="4">
        <f>SUMIFS(Transactions!$D$2:$D$726,Transactions!$B$2:$B$726,$A3,Transactions!$A$2:$A$726,"&gt;="&amp;DATE(2026,7,1),Transactions!$A$2:$A$726,"&lt;"&amp;EDATE(DATE(2026,7,1),1))</f>
        <v>832.03999999999985</v>
      </c>
      <c r="M3" s="4">
        <f>SUMIFS(Transactions!$D$2:$D$726,Transactions!$B$2:$B$726,$A3,Transactions!$A$2:$A$726,"&gt;="&amp;DATE(2026,8,1),Transactions!$A$2:$A$726,"&lt;"&amp;EDATE(DATE(2026,8,1),1))</f>
        <v>497.83</v>
      </c>
    </row>
    <row r="4" spans="1:13" x14ac:dyDescent="0.3">
      <c r="A4" s="5" t="s">
        <v>4</v>
      </c>
      <c r="B4" s="4">
        <f>SUMIFS(Transactions!$D$2:$D$726,Transactions!$B$2:$B$726,$A4,Transactions!$A$2:$A$726,"&gt;="&amp;DATE(2025,9,1),Transactions!$A$2:$A$726,"&lt;"&amp;EDATE(DATE(2025,9,1),1))</f>
        <v>3000</v>
      </c>
      <c r="C4" s="4">
        <f>SUMIFS(Transactions!$D$2:$D$726,Transactions!$B$2:$B$726,$A4,Transactions!$A$2:$A$726,"&gt;="&amp;DATE(2025,10,1),Transactions!$A$2:$A$726,"&lt;"&amp;EDATE(DATE(2025,10,1),1))</f>
        <v>3000</v>
      </c>
      <c r="D4" s="4">
        <f>SUMIFS(Transactions!$D$2:$D$726,Transactions!$B$2:$B$726,$A4,Transactions!$A$2:$A$726,"&gt;="&amp;DATE(2025,11,1),Transactions!$A$2:$A$726,"&lt;"&amp;EDATE(DATE(2025,11,1),1))</f>
        <v>3000</v>
      </c>
      <c r="E4" s="4">
        <f>SUMIFS(Transactions!$D$2:$D$726,Transactions!$B$2:$B$726,$A4,Transactions!$A$2:$A$726,"&gt;="&amp;DATE(2025,12,1),Transactions!$A$2:$A$726,"&lt;"&amp;EDATE(DATE(2025,12,1),1))</f>
        <v>3000</v>
      </c>
      <c r="F4" s="4">
        <f>SUMIFS(Transactions!$D$2:$D$726,Transactions!$B$2:$B$726,$A4,Transactions!$A$2:$A$726,"&gt;="&amp;DATE(2026,1,1),Transactions!$A$2:$A$726,"&lt;"&amp;EDATE(DATE(2026,1,1),1))</f>
        <v>3000</v>
      </c>
      <c r="G4" s="4">
        <f>SUMIFS(Transactions!$D$2:$D$726,Transactions!$B$2:$B$726,$A4,Transactions!$A$2:$A$726,"&gt;="&amp;DATE(2026,2,1),Transactions!$A$2:$A$726,"&lt;"&amp;EDATE(DATE(2026,2,1),1))</f>
        <v>3000</v>
      </c>
      <c r="H4" s="4">
        <f>SUMIFS(Transactions!$D$2:$D$726,Transactions!$B$2:$B$726,$A4,Transactions!$A$2:$A$726,"&gt;="&amp;DATE(2026,3,1),Transactions!$A$2:$A$726,"&lt;"&amp;EDATE(DATE(2026,3,1),1))</f>
        <v>3000</v>
      </c>
      <c r="I4" s="4">
        <f>SUMIFS(Transactions!$D$2:$D$726,Transactions!$B$2:$B$726,$A4,Transactions!$A$2:$A$726,"&gt;="&amp;DATE(2026,4,1),Transactions!$A$2:$A$726,"&lt;"&amp;EDATE(DATE(2026,4,1),1))</f>
        <v>3000</v>
      </c>
      <c r="J4" s="4">
        <f>SUMIFS(Transactions!$D$2:$D$726,Transactions!$B$2:$B$726,$A4,Transactions!$A$2:$A$726,"&gt;="&amp;DATE(2026,5,1),Transactions!$A$2:$A$726,"&lt;"&amp;EDATE(DATE(2026,5,1),1))</f>
        <v>3000</v>
      </c>
      <c r="K4" s="4">
        <f>SUMIFS(Transactions!$D$2:$D$726,Transactions!$B$2:$B$726,$A4,Transactions!$A$2:$A$726,"&gt;="&amp;DATE(2026,6,1),Transactions!$A$2:$A$726,"&lt;"&amp;EDATE(DATE(2026,6,1),1))</f>
        <v>3000</v>
      </c>
      <c r="L4" s="4">
        <f>SUMIFS(Transactions!$D$2:$D$726,Transactions!$B$2:$B$726,$A4,Transactions!$A$2:$A$726,"&gt;="&amp;DATE(2026,7,1),Transactions!$A$2:$A$726,"&lt;"&amp;EDATE(DATE(2026,7,1),1))</f>
        <v>3000</v>
      </c>
      <c r="M4" s="4">
        <f>SUMIFS(Transactions!$D$2:$D$726,Transactions!$B$2:$B$726,$A4,Transactions!$A$2:$A$726,"&gt;="&amp;DATE(2026,8,1),Transactions!$A$2:$A$726,"&lt;"&amp;EDATE(DATE(2026,8,1),1))</f>
        <v>3000</v>
      </c>
    </row>
    <row r="5" spans="1:13" x14ac:dyDescent="0.3">
      <c r="A5" s="5" t="s">
        <v>13</v>
      </c>
      <c r="B5" s="4">
        <f>SUMIFS(Transactions!$D$2:$D$726,Transactions!$B$2:$B$726,$A5,Transactions!$A$2:$A$726,"&gt;="&amp;DATE(2025,9,1),Transactions!$A$2:$A$726,"&lt;"&amp;EDATE(DATE(2025,9,1),1))</f>
        <v>209.16</v>
      </c>
      <c r="C5" s="4">
        <f>SUMIFS(Transactions!$D$2:$D$726,Transactions!$B$2:$B$726,$A5,Transactions!$A$2:$A$726,"&gt;="&amp;DATE(2025,10,1),Transactions!$A$2:$A$726,"&lt;"&amp;EDATE(DATE(2025,10,1),1))</f>
        <v>200.71</v>
      </c>
      <c r="D5" s="4">
        <f>SUMIFS(Transactions!$D$2:$D$726,Transactions!$B$2:$B$726,$A5,Transactions!$A$2:$A$726,"&gt;="&amp;DATE(2025,11,1),Transactions!$A$2:$A$726,"&lt;"&amp;EDATE(DATE(2025,11,1),1))</f>
        <v>312.79000000000002</v>
      </c>
      <c r="E5" s="4">
        <f>SUMIFS(Transactions!$D$2:$D$726,Transactions!$B$2:$B$726,$A5,Transactions!$A$2:$A$726,"&gt;="&amp;DATE(2025,12,1),Transactions!$A$2:$A$726,"&lt;"&amp;EDATE(DATE(2025,12,1),1))</f>
        <v>339.65</v>
      </c>
      <c r="F5" s="4">
        <f>SUMIFS(Transactions!$D$2:$D$726,Transactions!$B$2:$B$726,$A5,Transactions!$A$2:$A$726,"&gt;="&amp;DATE(2026,1,1),Transactions!$A$2:$A$726,"&lt;"&amp;EDATE(DATE(2026,1,1),1))</f>
        <v>279.63</v>
      </c>
      <c r="G5" s="4">
        <f>SUMIFS(Transactions!$D$2:$D$726,Transactions!$B$2:$B$726,$A5,Transactions!$A$2:$A$726,"&gt;="&amp;DATE(2026,2,1),Transactions!$A$2:$A$726,"&lt;"&amp;EDATE(DATE(2026,2,1),1))</f>
        <v>212.37</v>
      </c>
      <c r="H5" s="4">
        <f>SUMIFS(Transactions!$D$2:$D$726,Transactions!$B$2:$B$726,$A5,Transactions!$A$2:$A$726,"&gt;="&amp;DATE(2026,3,1),Transactions!$A$2:$A$726,"&lt;"&amp;EDATE(DATE(2026,3,1),1))</f>
        <v>337.95</v>
      </c>
      <c r="I5" s="4">
        <f>SUMIFS(Transactions!$D$2:$D$726,Transactions!$B$2:$B$726,$A5,Transactions!$A$2:$A$726,"&gt;="&amp;DATE(2026,4,1),Transactions!$A$2:$A$726,"&lt;"&amp;EDATE(DATE(2026,4,1),1))</f>
        <v>234.1</v>
      </c>
      <c r="J5" s="4">
        <f>SUMIFS(Transactions!$D$2:$D$726,Transactions!$B$2:$B$726,$A5,Transactions!$A$2:$A$726,"&gt;="&amp;DATE(2026,5,1),Transactions!$A$2:$A$726,"&lt;"&amp;EDATE(DATE(2026,5,1),1))</f>
        <v>269.23</v>
      </c>
      <c r="K5" s="4">
        <f>SUMIFS(Transactions!$D$2:$D$726,Transactions!$B$2:$B$726,$A5,Transactions!$A$2:$A$726,"&gt;="&amp;DATE(2026,6,1),Transactions!$A$2:$A$726,"&lt;"&amp;EDATE(DATE(2026,6,1),1))</f>
        <v>342.34</v>
      </c>
      <c r="L5" s="4">
        <f>SUMIFS(Transactions!$D$2:$D$726,Transactions!$B$2:$B$726,$A5,Transactions!$A$2:$A$726,"&gt;="&amp;DATE(2026,7,1),Transactions!$A$2:$A$726,"&lt;"&amp;EDATE(DATE(2026,7,1),1))</f>
        <v>269.72000000000003</v>
      </c>
      <c r="M5" s="4">
        <f>SUMIFS(Transactions!$D$2:$D$726,Transactions!$B$2:$B$726,$A5,Transactions!$A$2:$A$726,"&gt;="&amp;DATE(2026,8,1),Transactions!$A$2:$A$726,"&lt;"&amp;EDATE(DATE(2026,8,1),1))</f>
        <v>344.06</v>
      </c>
    </row>
    <row r="6" spans="1:13" x14ac:dyDescent="0.3">
      <c r="A6" s="5" t="s">
        <v>14</v>
      </c>
      <c r="B6" s="4">
        <f>SUMIFS(Transactions!$D$2:$D$726,Transactions!$B$2:$B$726,$A6,Transactions!$A$2:$A$726,"&gt;="&amp;DATE(2025,9,1),Transactions!$A$2:$A$726,"&lt;"&amp;EDATE(DATE(2025,9,1),1))</f>
        <v>1516.48</v>
      </c>
      <c r="C6" s="4">
        <f>SUMIFS(Transactions!$D$2:$D$726,Transactions!$B$2:$B$726,$A6,Transactions!$A$2:$A$726,"&gt;="&amp;DATE(2025,10,1),Transactions!$A$2:$A$726,"&lt;"&amp;EDATE(DATE(2025,10,1),1))</f>
        <v>1369.04</v>
      </c>
      <c r="D6" s="4">
        <f>SUMIFS(Transactions!$D$2:$D$726,Transactions!$B$2:$B$726,$A6,Transactions!$A$2:$A$726,"&gt;="&amp;DATE(2025,11,1),Transactions!$A$2:$A$726,"&lt;"&amp;EDATE(DATE(2025,11,1),1))</f>
        <v>672.13</v>
      </c>
      <c r="E6" s="4">
        <f>SUMIFS(Transactions!$D$2:$D$726,Transactions!$B$2:$B$726,$A6,Transactions!$A$2:$A$726,"&gt;="&amp;DATE(2025,12,1),Transactions!$A$2:$A$726,"&lt;"&amp;EDATE(DATE(2025,12,1),1))</f>
        <v>797.8</v>
      </c>
      <c r="F6" s="4">
        <f>SUMIFS(Transactions!$D$2:$D$726,Transactions!$B$2:$B$726,$A6,Transactions!$A$2:$A$726,"&gt;="&amp;DATE(2026,1,1),Transactions!$A$2:$A$726,"&lt;"&amp;EDATE(DATE(2026,1,1),1))</f>
        <v>2347.16</v>
      </c>
      <c r="G6" s="4">
        <f>SUMIFS(Transactions!$D$2:$D$726,Transactions!$B$2:$B$726,$A6,Transactions!$A$2:$A$726,"&gt;="&amp;DATE(2026,2,1),Transactions!$A$2:$A$726,"&lt;"&amp;EDATE(DATE(2026,2,1),1))</f>
        <v>1178.76</v>
      </c>
      <c r="H6" s="4">
        <f>SUMIFS(Transactions!$D$2:$D$726,Transactions!$B$2:$B$726,$A6,Transactions!$A$2:$A$726,"&gt;="&amp;DATE(2026,3,1),Transactions!$A$2:$A$726,"&lt;"&amp;EDATE(DATE(2026,3,1),1))</f>
        <v>1236.4199999999998</v>
      </c>
      <c r="I6" s="4">
        <f>SUMIFS(Transactions!$D$2:$D$726,Transactions!$B$2:$B$726,$A6,Transactions!$A$2:$A$726,"&gt;="&amp;DATE(2026,4,1),Transactions!$A$2:$A$726,"&lt;"&amp;EDATE(DATE(2026,4,1),1))</f>
        <v>1307.68</v>
      </c>
      <c r="J6" s="4">
        <f>SUMIFS(Transactions!$D$2:$D$726,Transactions!$B$2:$B$726,$A6,Transactions!$A$2:$A$726,"&gt;="&amp;DATE(2026,5,1),Transactions!$A$2:$A$726,"&lt;"&amp;EDATE(DATE(2026,5,1),1))</f>
        <v>1526.02</v>
      </c>
      <c r="K6" s="4">
        <f>SUMIFS(Transactions!$D$2:$D$726,Transactions!$B$2:$B$726,$A6,Transactions!$A$2:$A$726,"&gt;="&amp;DATE(2026,6,1),Transactions!$A$2:$A$726,"&lt;"&amp;EDATE(DATE(2026,6,1),1))</f>
        <v>1266.3399999999999</v>
      </c>
      <c r="L6" s="4">
        <f>SUMIFS(Transactions!$D$2:$D$726,Transactions!$B$2:$B$726,$A6,Transactions!$A$2:$A$726,"&gt;="&amp;DATE(2026,7,1),Transactions!$A$2:$A$726,"&lt;"&amp;EDATE(DATE(2026,7,1),1))</f>
        <v>547.81000000000006</v>
      </c>
      <c r="M6" s="4">
        <f>SUMIFS(Transactions!$D$2:$D$726,Transactions!$B$2:$B$726,$A6,Transactions!$A$2:$A$726,"&gt;="&amp;DATE(2026,8,1),Transactions!$A$2:$A$726,"&lt;"&amp;EDATE(DATE(2026,8,1),1))</f>
        <v>564.61</v>
      </c>
    </row>
    <row r="7" spans="1:13" x14ac:dyDescent="0.3">
      <c r="A7" s="5" t="s">
        <v>12</v>
      </c>
      <c r="B7" s="4">
        <f>SUMIFS(Transactions!$D$2:$D$726,Transactions!$B$2:$B$726,$A7,Transactions!$A$2:$A$726,"&gt;="&amp;DATE(2025,9,1),Transactions!$A$2:$A$726,"&lt;"&amp;EDATE(DATE(2025,9,1),1))</f>
        <v>1778.71</v>
      </c>
      <c r="C7" s="4">
        <f>SUMIFS(Transactions!$D$2:$D$726,Transactions!$B$2:$B$726,$A7,Transactions!$A$2:$A$726,"&gt;="&amp;DATE(2025,10,1),Transactions!$A$2:$A$726,"&lt;"&amp;EDATE(DATE(2025,10,1),1))</f>
        <v>1569.89</v>
      </c>
      <c r="D7" s="4">
        <f>SUMIFS(Transactions!$D$2:$D$726,Transactions!$B$2:$B$726,$A7,Transactions!$A$2:$A$726,"&gt;="&amp;DATE(2025,11,1),Transactions!$A$2:$A$726,"&lt;"&amp;EDATE(DATE(2025,11,1),1))</f>
        <v>1558.79</v>
      </c>
      <c r="E7" s="4">
        <f>SUMIFS(Transactions!$D$2:$D$726,Transactions!$B$2:$B$726,$A7,Transactions!$A$2:$A$726,"&gt;="&amp;DATE(2025,12,1),Transactions!$A$2:$A$726,"&lt;"&amp;EDATE(DATE(2025,12,1),1))</f>
        <v>2375.2400000000002</v>
      </c>
      <c r="F7" s="4">
        <f>SUMIFS(Transactions!$D$2:$D$726,Transactions!$B$2:$B$726,$A7,Transactions!$A$2:$A$726,"&gt;="&amp;DATE(2026,1,1),Transactions!$A$2:$A$726,"&lt;"&amp;EDATE(DATE(2026,1,1),1))</f>
        <v>4048.73</v>
      </c>
      <c r="G7" s="4">
        <f>SUMIFS(Transactions!$D$2:$D$726,Transactions!$B$2:$B$726,$A7,Transactions!$A$2:$A$726,"&gt;="&amp;DATE(2026,2,1),Transactions!$A$2:$A$726,"&lt;"&amp;EDATE(DATE(2026,2,1),1))</f>
        <v>1097.3399999999999</v>
      </c>
      <c r="H7" s="4">
        <f>SUMIFS(Transactions!$D$2:$D$726,Transactions!$B$2:$B$726,$A7,Transactions!$A$2:$A$726,"&gt;="&amp;DATE(2026,3,1),Transactions!$A$2:$A$726,"&lt;"&amp;EDATE(DATE(2026,3,1),1))</f>
        <v>2035.4700000000003</v>
      </c>
      <c r="I7" s="4">
        <f>SUMIFS(Transactions!$D$2:$D$726,Transactions!$B$2:$B$726,$A7,Transactions!$A$2:$A$726,"&gt;="&amp;DATE(2026,4,1),Transactions!$A$2:$A$726,"&lt;"&amp;EDATE(DATE(2026,4,1),1))</f>
        <v>2828.72</v>
      </c>
      <c r="J7" s="4">
        <f>SUMIFS(Transactions!$D$2:$D$726,Transactions!$B$2:$B$726,$A7,Transactions!$A$2:$A$726,"&gt;="&amp;DATE(2026,5,1),Transactions!$A$2:$A$726,"&lt;"&amp;EDATE(DATE(2026,5,1),1))</f>
        <v>1001.8699999999999</v>
      </c>
      <c r="K7" s="4">
        <f>SUMIFS(Transactions!$D$2:$D$726,Transactions!$B$2:$B$726,$A7,Transactions!$A$2:$A$726,"&gt;="&amp;DATE(2026,6,1),Transactions!$A$2:$A$726,"&lt;"&amp;EDATE(DATE(2026,6,1),1))</f>
        <v>1520.96</v>
      </c>
      <c r="L7" s="4">
        <f>SUMIFS(Transactions!$D$2:$D$726,Transactions!$B$2:$B$726,$A7,Transactions!$A$2:$A$726,"&gt;="&amp;DATE(2026,7,1),Transactions!$A$2:$A$726,"&lt;"&amp;EDATE(DATE(2026,7,1),1))</f>
        <v>3856.44</v>
      </c>
      <c r="M7" s="4">
        <f>SUMIFS(Transactions!$D$2:$D$726,Transactions!$B$2:$B$726,$A7,Transactions!$A$2:$A$726,"&gt;="&amp;DATE(2026,8,1),Transactions!$A$2:$A$726,"&lt;"&amp;EDATE(DATE(2026,8,1),1))</f>
        <v>2347.11</v>
      </c>
    </row>
    <row r="8" spans="1:13" x14ac:dyDescent="0.3">
      <c r="A8" s="5" t="s">
        <v>9</v>
      </c>
      <c r="B8" s="4">
        <f>SUMIFS(Transactions!$D$2:$D$726,Transactions!$B$2:$B$726,$A8,Transactions!$A$2:$A$726,"&gt;="&amp;DATE(2025,9,1),Transactions!$A$2:$A$726,"&lt;"&amp;EDATE(DATE(2025,9,1),1))</f>
        <v>1320.47</v>
      </c>
      <c r="C8" s="4">
        <f>SUMIFS(Transactions!$D$2:$D$726,Transactions!$B$2:$B$726,$A8,Transactions!$A$2:$A$726,"&gt;="&amp;DATE(2025,10,1),Transactions!$A$2:$A$726,"&lt;"&amp;EDATE(DATE(2025,10,1),1))</f>
        <v>1035.0899999999999</v>
      </c>
      <c r="D8" s="4">
        <f>SUMIFS(Transactions!$D$2:$D$726,Transactions!$B$2:$B$726,$A8,Transactions!$A$2:$A$726,"&gt;="&amp;DATE(2025,11,1),Transactions!$A$2:$A$726,"&lt;"&amp;EDATE(DATE(2025,11,1),1))</f>
        <v>1367.72</v>
      </c>
      <c r="E8" s="4">
        <f>SUMIFS(Transactions!$D$2:$D$726,Transactions!$B$2:$B$726,$A8,Transactions!$A$2:$A$726,"&gt;="&amp;DATE(2025,12,1),Transactions!$A$2:$A$726,"&lt;"&amp;EDATE(DATE(2025,12,1),1))</f>
        <v>290.72000000000003</v>
      </c>
      <c r="F8" s="4">
        <f>SUMIFS(Transactions!$D$2:$D$726,Transactions!$B$2:$B$726,$A8,Transactions!$A$2:$A$726,"&gt;="&amp;DATE(2026,1,1),Transactions!$A$2:$A$726,"&lt;"&amp;EDATE(DATE(2026,1,1),1))</f>
        <v>1193.73</v>
      </c>
      <c r="G8" s="4">
        <f>SUMIFS(Transactions!$D$2:$D$726,Transactions!$B$2:$B$726,$A8,Transactions!$A$2:$A$726,"&gt;="&amp;DATE(2026,2,1),Transactions!$A$2:$A$726,"&lt;"&amp;EDATE(DATE(2026,2,1),1))</f>
        <v>868.95</v>
      </c>
      <c r="H8" s="4">
        <f>SUMIFS(Transactions!$D$2:$D$726,Transactions!$B$2:$B$726,$A8,Transactions!$A$2:$A$726,"&gt;="&amp;DATE(2026,3,1),Transactions!$A$2:$A$726,"&lt;"&amp;EDATE(DATE(2026,3,1),1))</f>
        <v>1002.29</v>
      </c>
      <c r="I8" s="4">
        <f>SUMIFS(Transactions!$D$2:$D$726,Transactions!$B$2:$B$726,$A8,Transactions!$A$2:$A$726,"&gt;="&amp;DATE(2026,4,1),Transactions!$A$2:$A$726,"&lt;"&amp;EDATE(DATE(2026,4,1),1))</f>
        <v>1278.47</v>
      </c>
      <c r="J8" s="4">
        <f>SUMIFS(Transactions!$D$2:$D$726,Transactions!$B$2:$B$726,$A8,Transactions!$A$2:$A$726,"&gt;="&amp;DATE(2026,5,1),Transactions!$A$2:$A$726,"&lt;"&amp;EDATE(DATE(2026,5,1),1))</f>
        <v>1706.7900000000002</v>
      </c>
      <c r="K8" s="4">
        <f>SUMIFS(Transactions!$D$2:$D$726,Transactions!$B$2:$B$726,$A8,Transactions!$A$2:$A$726,"&gt;="&amp;DATE(2026,6,1),Transactions!$A$2:$A$726,"&lt;"&amp;EDATE(DATE(2026,6,1),1))</f>
        <v>1353.52</v>
      </c>
      <c r="L8" s="4">
        <f>SUMIFS(Transactions!$D$2:$D$726,Transactions!$B$2:$B$726,$A8,Transactions!$A$2:$A$726,"&gt;="&amp;DATE(2026,7,1),Transactions!$A$2:$A$726,"&lt;"&amp;EDATE(DATE(2026,7,1),1))</f>
        <v>1322.9799999999998</v>
      </c>
      <c r="M8" s="4">
        <f>SUMIFS(Transactions!$D$2:$D$726,Transactions!$B$2:$B$726,$A8,Transactions!$A$2:$A$726,"&gt;="&amp;DATE(2026,8,1),Transactions!$A$2:$A$726,"&lt;"&amp;EDATE(DATE(2026,8,1),1))</f>
        <v>1384.16</v>
      </c>
    </row>
    <row r="9" spans="1:13" x14ac:dyDescent="0.3">
      <c r="A9" s="5" t="s">
        <v>10</v>
      </c>
      <c r="B9" s="4">
        <f>SUMIFS(Transactions!$D$2:$D$726,Transactions!$B$2:$B$726,$A9,Transactions!$A$2:$A$726,"&gt;="&amp;DATE(2025,9,1),Transactions!$A$2:$A$726,"&lt;"&amp;EDATE(DATE(2025,9,1),1))</f>
        <v>1826.76</v>
      </c>
      <c r="C9" s="4">
        <f>SUMIFS(Transactions!$D$2:$D$726,Transactions!$B$2:$B$726,$A9,Transactions!$A$2:$A$726,"&gt;="&amp;DATE(2025,10,1),Transactions!$A$2:$A$726,"&lt;"&amp;EDATE(DATE(2025,10,1),1))</f>
        <v>1536.92</v>
      </c>
      <c r="D9" s="4">
        <f>SUMIFS(Transactions!$D$2:$D$726,Transactions!$B$2:$B$726,$A9,Transactions!$A$2:$A$726,"&gt;="&amp;DATE(2025,11,1),Transactions!$A$2:$A$726,"&lt;"&amp;EDATE(DATE(2025,11,1),1))</f>
        <v>2360.1600000000003</v>
      </c>
      <c r="E9" s="4">
        <f>SUMIFS(Transactions!$D$2:$D$726,Transactions!$B$2:$B$726,$A9,Transactions!$A$2:$A$726,"&gt;="&amp;DATE(2025,12,1),Transactions!$A$2:$A$726,"&lt;"&amp;EDATE(DATE(2025,12,1),1))</f>
        <v>1822.65</v>
      </c>
      <c r="F9" s="4">
        <f>SUMIFS(Transactions!$D$2:$D$726,Transactions!$B$2:$B$726,$A9,Transactions!$A$2:$A$726,"&gt;="&amp;DATE(2026,1,1),Transactions!$A$2:$A$726,"&lt;"&amp;EDATE(DATE(2026,1,1),1))</f>
        <v>1341.74</v>
      </c>
      <c r="G9" s="4">
        <f>SUMIFS(Transactions!$D$2:$D$726,Transactions!$B$2:$B$726,$A9,Transactions!$A$2:$A$726,"&gt;="&amp;DATE(2026,2,1),Transactions!$A$2:$A$726,"&lt;"&amp;EDATE(DATE(2026,2,1),1))</f>
        <v>2814.45</v>
      </c>
      <c r="H9" s="4">
        <f>SUMIFS(Transactions!$D$2:$D$726,Transactions!$B$2:$B$726,$A9,Transactions!$A$2:$A$726,"&gt;="&amp;DATE(2026,3,1),Transactions!$A$2:$A$726,"&lt;"&amp;EDATE(DATE(2026,3,1),1))</f>
        <v>1337.38</v>
      </c>
      <c r="I9" s="4">
        <f>SUMIFS(Transactions!$D$2:$D$726,Transactions!$B$2:$B$726,$A9,Transactions!$A$2:$A$726,"&gt;="&amp;DATE(2026,4,1),Transactions!$A$2:$A$726,"&lt;"&amp;EDATE(DATE(2026,4,1),1))</f>
        <v>885.07999999999993</v>
      </c>
      <c r="J9" s="4">
        <f>SUMIFS(Transactions!$D$2:$D$726,Transactions!$B$2:$B$726,$A9,Transactions!$A$2:$A$726,"&gt;="&amp;DATE(2026,5,1),Transactions!$A$2:$A$726,"&lt;"&amp;EDATE(DATE(2026,5,1),1))</f>
        <v>1017.64</v>
      </c>
      <c r="K9" s="4">
        <f>SUMIFS(Transactions!$D$2:$D$726,Transactions!$B$2:$B$726,$A9,Transactions!$A$2:$A$726,"&gt;="&amp;DATE(2026,6,1),Transactions!$A$2:$A$726,"&lt;"&amp;EDATE(DATE(2026,6,1),1))</f>
        <v>1249.9099999999999</v>
      </c>
      <c r="L9" s="4">
        <f>SUMIFS(Transactions!$D$2:$D$726,Transactions!$B$2:$B$726,$A9,Transactions!$A$2:$A$726,"&gt;="&amp;DATE(2026,7,1),Transactions!$A$2:$A$726,"&lt;"&amp;EDATE(DATE(2026,7,1),1))</f>
        <v>1151.4299999999998</v>
      </c>
      <c r="M9" s="4">
        <f>SUMIFS(Transactions!$D$2:$D$726,Transactions!$B$2:$B$726,$A9,Transactions!$A$2:$A$726,"&gt;="&amp;DATE(2026,8,1),Transactions!$A$2:$A$726,"&lt;"&amp;EDATE(DATE(2026,8,1),1))</f>
        <v>1388.8200000000002</v>
      </c>
    </row>
    <row r="10" spans="1:13" x14ac:dyDescent="0.3">
      <c r="A10" s="5" t="s">
        <v>28</v>
      </c>
      <c r="B10" s="8">
        <f t="shared" ref="B10:M10" si="0">SUM(B2:B9)</f>
        <v>11953.2</v>
      </c>
      <c r="C10" s="8">
        <f t="shared" si="0"/>
        <v>10205.31</v>
      </c>
      <c r="D10" s="8">
        <f t="shared" si="0"/>
        <v>11112.61</v>
      </c>
      <c r="E10" s="8">
        <f t="shared" si="0"/>
        <v>10432.42</v>
      </c>
      <c r="F10" s="8">
        <f t="shared" si="0"/>
        <v>14061.26</v>
      </c>
      <c r="G10" s="8">
        <f t="shared" si="0"/>
        <v>10754.2</v>
      </c>
      <c r="H10" s="8">
        <f t="shared" si="0"/>
        <v>10717.120000000003</v>
      </c>
      <c r="I10" s="8">
        <f t="shared" si="0"/>
        <v>11492.68</v>
      </c>
      <c r="J10" s="8">
        <f t="shared" si="0"/>
        <v>10431.629999999999</v>
      </c>
      <c r="K10" s="8">
        <f t="shared" si="0"/>
        <v>11038.03</v>
      </c>
      <c r="L10" s="8">
        <f t="shared" si="0"/>
        <v>12416.73</v>
      </c>
      <c r="M10" s="8">
        <f t="shared" si="0"/>
        <v>10605.05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Monthly Summary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SILPPI SAHOO</cp:lastModifiedBy>
  <dcterms:created xsi:type="dcterms:W3CDTF">2026-08-21T05:57:46Z</dcterms:created>
  <dcterms:modified xsi:type="dcterms:W3CDTF">2026-08-21T06:28:54Z</dcterms:modified>
</cp:coreProperties>
</file>